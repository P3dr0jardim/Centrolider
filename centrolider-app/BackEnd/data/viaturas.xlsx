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02D3F097-AAFD-4773-A389-810A99F265D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1" l="1"/>
</calcChain>
</file>

<file path=xl/sharedStrings.xml><?xml version="1.0" encoding="utf-8"?>
<sst xmlns="http://schemas.openxmlformats.org/spreadsheetml/2006/main" count="221" uniqueCount="132">
  <si>
    <t>n_contrato</t>
  </si>
  <si>
    <t>data_entrega</t>
  </si>
  <si>
    <t>matricula</t>
  </si>
  <si>
    <t>data_matricula</t>
  </si>
  <si>
    <t>marca</t>
  </si>
  <si>
    <t>rentabilidade</t>
  </si>
  <si>
    <t>prox_inspecao</t>
  </si>
  <si>
    <t>validade_contrato</t>
  </si>
  <si>
    <t>plano_revisao</t>
  </si>
  <si>
    <t>kms_ultima_revisao</t>
  </si>
  <si>
    <t>kms_atuais</t>
  </si>
  <si>
    <t>AL-41-HN</t>
  </si>
  <si>
    <t>Peugeot 208 active pack 1.2</t>
  </si>
  <si>
    <t>AL-18-HO</t>
  </si>
  <si>
    <t>AN-04-CQ</t>
  </si>
  <si>
    <t>Dacia Duster 1.5 Dci Confort 4x2</t>
  </si>
  <si>
    <t>AN-69-CP</t>
  </si>
  <si>
    <t>Dacia Duster 1.5 Dci Prestige 4x2</t>
  </si>
  <si>
    <t>AN -87-CQ</t>
  </si>
  <si>
    <t>AV-16-LX</t>
  </si>
  <si>
    <t>Dacia Duster 1.5 Dci Confort 4x4</t>
  </si>
  <si>
    <t>AR-03-QJ</t>
  </si>
  <si>
    <t>AR-09-QL</t>
  </si>
  <si>
    <t>AJ-07-PQ</t>
  </si>
  <si>
    <t>Peugeot Rifter Active pack 1.5 Hdi</t>
  </si>
  <si>
    <t>AJ-14-PQ</t>
  </si>
  <si>
    <t>AJ-16-BI</t>
  </si>
  <si>
    <t>AJ-17-BI</t>
  </si>
  <si>
    <t>AJ-20-BI</t>
  </si>
  <si>
    <t>AJ-22-BI</t>
  </si>
  <si>
    <t>AJ-25-BI</t>
  </si>
  <si>
    <t>AJ-28-BI</t>
  </si>
  <si>
    <t>AJ-36-PQ</t>
  </si>
  <si>
    <t>AJ-46-PQ</t>
  </si>
  <si>
    <t>AL-70-BU</t>
  </si>
  <si>
    <t>AL-28-HO</t>
  </si>
  <si>
    <t>AL-96-OX</t>
  </si>
  <si>
    <t>AN-59-AO</t>
  </si>
  <si>
    <t>AQ-15-JU</t>
  </si>
  <si>
    <t>AQ-31-JU</t>
  </si>
  <si>
    <t>AQ-46-JT</t>
  </si>
  <si>
    <t>AQ-54-JT</t>
  </si>
  <si>
    <t>AQ-76-JT</t>
  </si>
  <si>
    <t>AQ-84-JT</t>
  </si>
  <si>
    <t>AJ-13-CD</t>
  </si>
  <si>
    <t>Peugeot Expert Semi-vidrado 2.0 Hdi</t>
  </si>
  <si>
    <t>AJ-18-CD</t>
  </si>
  <si>
    <t>AJ-26-CD</t>
  </si>
  <si>
    <t>AJ-30-CD</t>
  </si>
  <si>
    <t>AJ-35-CD</t>
  </si>
  <si>
    <t>AJ-37-CD</t>
  </si>
  <si>
    <t>AH-05-ZH</t>
  </si>
  <si>
    <t>Fiat Fiorino 1.3 Multijet</t>
  </si>
  <si>
    <t>AH-65-ZF</t>
  </si>
  <si>
    <t>AH-70-ZF</t>
  </si>
  <si>
    <t>AI-33-ID</t>
  </si>
  <si>
    <t>AI-40-ID</t>
  </si>
  <si>
    <t>AI-41-ID</t>
  </si>
  <si>
    <t>AI-43-ID</t>
  </si>
  <si>
    <t>AI-44-ID</t>
  </si>
  <si>
    <t>AI-46-ID</t>
  </si>
  <si>
    <t>AI-48-ID</t>
  </si>
  <si>
    <t>AI-49-ID</t>
  </si>
  <si>
    <t>AI-50-ID</t>
  </si>
  <si>
    <t>AI-07-GH</t>
  </si>
  <si>
    <t>Peugeot Partner Pro 1.5 Standard Hdi</t>
  </si>
  <si>
    <t>AI-08-GH</t>
  </si>
  <si>
    <t>AI-18-GZ</t>
  </si>
  <si>
    <t>AI-26-GH</t>
  </si>
  <si>
    <t>AI-33-GH</t>
  </si>
  <si>
    <t>AI-60-GG</t>
  </si>
  <si>
    <t>AI-69-GG</t>
  </si>
  <si>
    <t>AI-84-GG</t>
  </si>
  <si>
    <t>AI-98-GG</t>
  </si>
  <si>
    <t>AL-00-BT</t>
  </si>
  <si>
    <t>Peugeot Expert 1.5 Pro Standard Hdi</t>
  </si>
  <si>
    <t>AL-85-BT</t>
  </si>
  <si>
    <t>AL-46-HN</t>
  </si>
  <si>
    <t>AL-70-HN</t>
  </si>
  <si>
    <t>AL-72-HN</t>
  </si>
  <si>
    <t>AL-21-HO</t>
  </si>
  <si>
    <t>AL-38-HO</t>
  </si>
  <si>
    <t>AL-39-HO</t>
  </si>
  <si>
    <t>AH-06-OQ</t>
  </si>
  <si>
    <t>Mitsubishi L200 2.3 Cabine Dupla 4x4 CX Metálica</t>
  </si>
  <si>
    <t>AH-18-OQ</t>
  </si>
  <si>
    <t>Mitsubishi L200 2.3 Cabine Dupla 4x4 Cx Metálica</t>
  </si>
  <si>
    <t>AH-99-OP</t>
  </si>
  <si>
    <t>AH-01-OQ</t>
  </si>
  <si>
    <t xml:space="preserve">Mitsubishi L200 2.3 Cabine Dupla 4x4 </t>
  </si>
  <si>
    <t>AH-02-OQ</t>
  </si>
  <si>
    <t>AH-04-OQ</t>
  </si>
  <si>
    <t>AH-05-OQ</t>
  </si>
  <si>
    <t>AH-07-OQ</t>
  </si>
  <si>
    <t>AH-09-OQ</t>
  </si>
  <si>
    <t>AH-11-OQ</t>
  </si>
  <si>
    <t>AH-12-OQ</t>
  </si>
  <si>
    <t>AH-14-OQ</t>
  </si>
  <si>
    <t>AH-16-OQ</t>
  </si>
  <si>
    <t xml:space="preserve"> AH-17-OQ</t>
  </si>
  <si>
    <t>AH-20-OQ</t>
  </si>
  <si>
    <t>AH-21-OQ</t>
  </si>
  <si>
    <t>AH-22-OQ</t>
  </si>
  <si>
    <t>AH-23-OQ</t>
  </si>
  <si>
    <t>AH-24-OQ</t>
  </si>
  <si>
    <t>AH-66-PI</t>
  </si>
  <si>
    <t>AH-69-PI</t>
  </si>
  <si>
    <t>AH-70-PI</t>
  </si>
  <si>
    <t>AH-71-PI</t>
  </si>
  <si>
    <t>AH-75-PI</t>
  </si>
  <si>
    <t>AH-78-PI</t>
  </si>
  <si>
    <t>AH-83-OP</t>
  </si>
  <si>
    <t>AH-84-OP</t>
  </si>
  <si>
    <t>AH-85-OP</t>
  </si>
  <si>
    <t>AH-89-OP</t>
  </si>
  <si>
    <t>AH-92-OP</t>
  </si>
  <si>
    <t>AH-93-OP</t>
  </si>
  <si>
    <t>AH-95-OP</t>
  </si>
  <si>
    <t>AH-96-OP</t>
  </si>
  <si>
    <t>AH-98-OP</t>
  </si>
  <si>
    <t>AH-86-OP</t>
  </si>
  <si>
    <t>Mitsubishi L200  2.3 Cabine Dupla 4x2</t>
  </si>
  <si>
    <t>AH-88-OP</t>
  </si>
  <si>
    <t>AH-65-PI</t>
  </si>
  <si>
    <t>Mitsubishi L200 2.3 Cabine Club 4x4</t>
  </si>
  <si>
    <t>AI-38-ET</t>
  </si>
  <si>
    <t>Toyota Hilux 2.4 Cabine Simples  4x2</t>
  </si>
  <si>
    <t>AI-63-ET</t>
  </si>
  <si>
    <t>AH-03-OQ</t>
  </si>
  <si>
    <t>Mitsubishi Fuso Canter 3.0 Cabine Dupla</t>
  </si>
  <si>
    <t>AH-08-OQ</t>
  </si>
  <si>
    <t>AH-00-OQ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</si>
</sst>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,##0.00\ &quot;€&quot;"/>
  </numFmts>
  <fonts count="12">
    <font>
      <sz val="11"/>
      <color theme="1"/>
      <name val="Aptos Narrow"/>
      <family val="2"/>
      <scheme val="minor"/>
    </font>
    <font>
      <b/>
      <sz val="11"/>
      <color rgb="FF3F3F3F"/>
      <name val="Calibri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</font>
    <font>
      <b/>
      <sz val="11"/>
      <color theme="1"/>
      <name val="Arial"/>
      <family val="2"/>
    </font>
    <font>
      <b/>
      <sz val="12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8">
    <xf numFmtId="0" fontId="0" fillId="0" borderId="0" xfId="0"/>
    <xf numFmtId="0" fontId="3" fillId="3" borderId="2" xfId="0" applyFont="1" applyFill="1" applyBorder="1" applyAlignment="1">
      <alignment vertical="center" wrapText="1"/>
    </xf>
    <xf numFmtId="164" fontId="3" fillId="3" borderId="3" xfId="0" applyNumberFormat="1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6" fillId="3" borderId="4" xfId="1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/>
    <xf numFmtId="0" fontId="2" fillId="0" borderId="6" xfId="2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6" xfId="0" applyBorder="1"/>
    <xf numFmtId="14" fontId="0" fillId="0" borderId="6" xfId="0" applyNumberFormat="1" applyBorder="1"/>
    <xf numFmtId="0" fontId="8" fillId="5" borderId="8" xfId="3" applyFont="1" applyFill="1" applyBorder="1" applyAlignment="1">
      <alignment vertical="center"/>
    </xf>
    <xf numFmtId="0" fontId="8" fillId="6" borderId="7" xfId="3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/>
    <xf numFmtId="0" fontId="2" fillId="0" borderId="0" xfId="2" applyFill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7" xfId="0" applyBorder="1"/>
    <xf numFmtId="14" fontId="0" fillId="0" borderId="7" xfId="0" applyNumberFormat="1" applyBorder="1"/>
    <xf numFmtId="0" fontId="8" fillId="5" borderId="10" xfId="3" applyFont="1" applyFill="1" applyBorder="1" applyAlignment="1">
      <alignment vertical="center"/>
    </xf>
    <xf numFmtId="0" fontId="2" fillId="7" borderId="10" xfId="2" applyFill="1" applyBorder="1" applyAlignment="1">
      <alignment horizontal="center" vertical="center"/>
    </xf>
    <xf numFmtId="164" fontId="0" fillId="7" borderId="11" xfId="0" applyNumberFormat="1" applyFill="1" applyBorder="1" applyAlignment="1">
      <alignment horizontal="center" vertical="center"/>
    </xf>
    <xf numFmtId="0" fontId="0" fillId="7" borderId="12" xfId="0" applyFill="1" applyBorder="1"/>
    <xf numFmtId="0" fontId="8" fillId="0" borderId="10" xfId="3" applyFont="1" applyFill="1" applyBorder="1" applyAlignment="1">
      <alignment vertical="center"/>
    </xf>
    <xf numFmtId="0" fontId="8" fillId="0" borderId="7" xfId="3" applyFont="1" applyFill="1" applyBorder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4" fontId="9" fillId="0" borderId="7" xfId="0" applyNumberFormat="1" applyFont="1" applyBorder="1"/>
    <xf numFmtId="0" fontId="2" fillId="7" borderId="7" xfId="2" applyFill="1" applyBorder="1" applyAlignment="1">
      <alignment horizontal="center" vertical="center"/>
    </xf>
    <xf numFmtId="164" fontId="9" fillId="7" borderId="6" xfId="0" applyNumberFormat="1" applyFont="1" applyFill="1" applyBorder="1" applyAlignment="1">
      <alignment horizontal="center"/>
    </xf>
    <xf numFmtId="0" fontId="0" fillId="7" borderId="7" xfId="0" applyFill="1" applyBorder="1"/>
    <xf numFmtId="164" fontId="10" fillId="0" borderId="7" xfId="0" applyNumberFormat="1" applyFont="1" applyBorder="1"/>
    <xf numFmtId="164" fontId="0" fillId="7" borderId="7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7" borderId="7" xfId="0" applyNumberFormat="1" applyFill="1" applyBorder="1"/>
    <xf numFmtId="0" fontId="11" fillId="6" borderId="7" xfId="3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0" fontId="2" fillId="6" borderId="7" xfId="2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2" fillId="8" borderId="7" xfId="2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/>
    </xf>
    <xf numFmtId="0" fontId="0" fillId="8" borderId="7" xfId="0" applyFill="1" applyBorder="1"/>
    <xf numFmtId="164" fontId="0" fillId="8" borderId="7" xfId="0" applyNumberFormat="1" applyFill="1" applyBorder="1"/>
    <xf numFmtId="0" fontId="8" fillId="8" borderId="10" xfId="3" applyFont="1" applyFill="1" applyBorder="1" applyAlignment="1">
      <alignment vertical="center"/>
    </xf>
    <xf numFmtId="0" fontId="8" fillId="8" borderId="7" xfId="3" applyFont="1" applyFill="1" applyBorder="1" applyAlignment="1">
      <alignment vertical="center"/>
    </xf>
    <xf numFmtId="0" fontId="0" fillId="8" borderId="0" xfId="0" applyFill="1"/>
    <xf numFmtId="164" fontId="0" fillId="0" borderId="0" xfId="0" applyNumberFormat="1"/>
    <xf numFmtId="0" fontId="11" fillId="0" borderId="7" xfId="3" applyFont="1" applyFill="1" applyBorder="1" applyAlignment="1">
      <alignment horizontal="center" vertical="center"/>
    </xf>
    <xf numFmtId="0" fontId="0" fillId="9" borderId="7" xfId="0" applyFill="1" applyBorder="1"/>
    <xf numFmtId="0" fontId="8" fillId="7" borderId="10" xfId="3" applyFont="1" applyFill="1" applyBorder="1" applyAlignment="1">
      <alignment horizontal="center" vertical="center"/>
    </xf>
    <xf numFmtId="0" fontId="8" fillId="7" borderId="7" xfId="3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/>
    <xf numFmtId="0" fontId="11" fillId="0" borderId="12" xfId="3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64" fontId="0" fillId="10" borderId="11" xfId="0" applyNumberFormat="1" applyFill="1" applyBorder="1"/>
    <xf numFmtId="164" fontId="0" fillId="10" borderId="7" xfId="0" applyNumberFormat="1" applyFill="1" applyBorder="1" applyAlignment="1">
      <alignment horizontal="center"/>
    </xf>
    <xf numFmtId="0" fontId="0" fillId="10" borderId="7" xfId="0" applyFill="1" applyBorder="1"/>
    <xf numFmtId="164" fontId="0" fillId="10" borderId="7" xfId="0" applyNumberFormat="1" applyFill="1" applyBorder="1"/>
    <xf numFmtId="0" fontId="0" fillId="10" borderId="0" xfId="0" applyFill="1"/>
    <xf numFmtId="0" fontId="11" fillId="0" borderId="7" xfId="3" applyFon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0" fontId="8" fillId="5" borderId="10" xfId="3" applyFont="1" applyFill="1" applyBorder="1" applyAlignment="1">
      <alignment horizontal="center" vertical="center"/>
    </xf>
    <xf numFmtId="0" fontId="2" fillId="0" borderId="7" xfId="2" applyFill="1" applyBorder="1" applyAlignment="1">
      <alignment horizontal="center"/>
    </xf>
    <xf numFmtId="0" fontId="8" fillId="0" borderId="10" xfId="3" applyFont="1" applyFill="1" applyBorder="1" applyAlignment="1">
      <alignment horizontal="center" vertical="center"/>
    </xf>
    <xf numFmtId="0" fontId="8" fillId="5" borderId="10" xfId="3" applyFont="1" applyFill="1" applyBorder="1" applyAlignment="1">
      <alignment horizontal="left" vertical="center"/>
    </xf>
    <xf numFmtId="0" fontId="2" fillId="0" borderId="0" xfId="2" applyFill="1" applyAlignment="1">
      <alignment horizontal="center"/>
    </xf>
    <xf numFmtId="165" fontId="11" fillId="7" borderId="7" xfId="3" applyNumberFormat="1" applyFont="1" applyFill="1" applyBorder="1" applyAlignment="1">
      <alignment horizontal="center"/>
    </xf>
    <xf numFmtId="0" fontId="8" fillId="0" borderId="10" xfId="3" applyFont="1" applyFill="1" applyBorder="1" applyAlignment="1">
      <alignment horizontal="left" vertical="center"/>
    </xf>
    <xf numFmtId="0" fontId="11" fillId="7" borderId="7" xfId="3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8" fillId="10" borderId="10" xfId="3" applyFont="1" applyFill="1" applyBorder="1" applyAlignment="1">
      <alignment horizontal="left" vertical="center"/>
    </xf>
    <xf numFmtId="0" fontId="8" fillId="10" borderId="7" xfId="3" applyFont="1" applyFill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65" fontId="2" fillId="7" borderId="7" xfId="2" applyNumberFormat="1" applyFill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7" borderId="7" xfId="0" applyFont="1" applyFill="1" applyBorder="1"/>
    <xf numFmtId="0" fontId="9" fillId="0" borderId="7" xfId="0" applyFont="1" applyBorder="1"/>
    <xf numFmtId="164" fontId="9" fillId="7" borderId="7" xfId="0" applyNumberFormat="1" applyFont="1" applyFill="1" applyBorder="1"/>
    <xf numFmtId="0" fontId="9" fillId="0" borderId="10" xfId="3" applyFont="1" applyFill="1" applyBorder="1" applyAlignment="1">
      <alignment horizontal="left" vertical="center"/>
    </xf>
    <xf numFmtId="0" fontId="9" fillId="0" borderId="7" xfId="3" applyFont="1" applyFill="1" applyBorder="1" applyAlignment="1">
      <alignment vertical="center"/>
    </xf>
    <xf numFmtId="0" fontId="9" fillId="0" borderId="0" xfId="0" applyFont="1"/>
    <xf numFmtId="165" fontId="11" fillId="7" borderId="9" xfId="3" applyNumberFormat="1" applyFont="1" applyFill="1" applyBorder="1" applyAlignment="1">
      <alignment horizontal="center"/>
    </xf>
    <xf numFmtId="164" fontId="0" fillId="0" borderId="10" xfId="0" applyNumberFormat="1" applyBorder="1"/>
    <xf numFmtId="165" fontId="11" fillId="7" borderId="11" xfId="3" applyNumberFormat="1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5" fontId="2" fillId="7" borderId="11" xfId="2" applyNumberFormat="1" applyFill="1" applyBorder="1" applyAlignment="1">
      <alignment horizontal="center"/>
    </xf>
    <xf numFmtId="165" fontId="11" fillId="7" borderId="6" xfId="3" applyNumberFormat="1" applyFont="1" applyFill="1" applyBorder="1" applyAlignment="1">
      <alignment horizontal="center"/>
    </xf>
    <xf numFmtId="0" fontId="8" fillId="8" borderId="10" xfId="3" applyFont="1" applyFill="1" applyBorder="1" applyAlignment="1">
      <alignment horizontal="left" vertical="center"/>
    </xf>
    <xf numFmtId="0" fontId="2" fillId="0" borderId="0" xfId="2" applyAlignment="1">
      <alignment horizontal="center" vertical="center"/>
    </xf>
    <xf numFmtId="165" fontId="11" fillId="0" borderId="7" xfId="3" applyNumberFormat="1" applyFont="1" applyFill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0" fillId="7" borderId="7" xfId="0" applyNumberFormat="1" applyFont="1" applyFill="1" applyBorder="1"/>
    <xf numFmtId="0" fontId="0" fillId="7" borderId="7" xfId="0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9" xfId="3" applyFont="1" applyFill="1" applyBorder="1" applyAlignment="1">
      <alignment vertical="center"/>
    </xf>
    <xf numFmtId="0" fontId="0" fillId="7" borderId="14" xfId="0" applyFill="1" applyBorder="1"/>
    <xf numFmtId="0" fontId="0" fillId="7" borderId="0" xfId="0" applyFill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0" fillId="6" borderId="0" xfId="0" applyFill="1"/>
    <xf numFmtId="0" fontId="8" fillId="6" borderId="0" xfId="3" applyFont="1" applyFill="1" applyBorder="1" applyAlignment="1">
      <alignment horizontal="center" vertical="center"/>
    </xf>
    <xf numFmtId="0" fontId="8" fillId="10" borderId="6" xfId="3" applyFont="1" applyFill="1" applyBorder="1" applyAlignment="1">
      <alignment horizontal="center" vertical="center"/>
    </xf>
    <xf numFmtId="0" fontId="8" fillId="10" borderId="7" xfId="3" applyFont="1" applyFill="1" applyBorder="1" applyAlignment="1">
      <alignment horizontal="center" vertical="center"/>
    </xf>
  </cellXfs>
  <cellStyles count="4">
    <cellStyle name="Hiperligação" xfId="3" builtinId="8"/>
    <cellStyle name="Hyperlink" xfId="2" xr:uid="{00000000-000B-0000-0000-000008000000}"/>
    <cellStyle name="Normal" xfId="0" builtinId="0"/>
    <cellStyle name="Saída" xfId="1" builtinId="21"/>
  </cellStyles>
  <dxfs count="6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000000"/>
      </font>
      <fill>
        <patternFill patternType="solid">
          <bgColor rgb="FF70AD47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Viaturas%20EEM/AH-69-PI" TargetMode="External"/><Relationship Id="rId21" Type="http://schemas.openxmlformats.org/officeDocument/2006/relationships/hyperlink" Target="Viaturas%20EEM/AH-23-OQ" TargetMode="External"/><Relationship Id="rId42" Type="http://schemas.openxmlformats.org/officeDocument/2006/relationships/hyperlink" Target="Viaturas%20EEM/AI-18-GZ" TargetMode="External"/><Relationship Id="rId47" Type="http://schemas.openxmlformats.org/officeDocument/2006/relationships/hyperlink" Target="Viaturas%20EEM/AI-26-GH" TargetMode="External"/><Relationship Id="rId63" Type="http://schemas.openxmlformats.org/officeDocument/2006/relationships/hyperlink" Target="Viaturas%20EEM/AJ-28-BI" TargetMode="External"/><Relationship Id="rId68" Type="http://schemas.openxmlformats.org/officeDocument/2006/relationships/hyperlink" Target="Viaturas%20EEM/AJ-13-CD" TargetMode="External"/><Relationship Id="rId84" Type="http://schemas.openxmlformats.org/officeDocument/2006/relationships/hyperlink" Target="https://autocrescente.sharepoint.com/:f:/s/Centrolider-Renting/EjKvXCF6GcpLkoFMeNp0LYYB8to8sWJsL4-CDYiCB3ehJQ?e=9ftSAz" TargetMode="External"/><Relationship Id="rId89" Type="http://schemas.openxmlformats.org/officeDocument/2006/relationships/hyperlink" Target="https://autocrescente.sharepoint.com/:f:/s/Centrolider-Renting/EgC0SJsHMRxDuvHMuM9tX04BgrdlbsBQz8Ne7beiQZUHDw?e=uQ1Z74" TargetMode="External"/><Relationship Id="rId16" Type="http://schemas.openxmlformats.org/officeDocument/2006/relationships/hyperlink" Target="Viaturas%20EEM/AH-24-OQ" TargetMode="External"/><Relationship Id="rId11" Type="http://schemas.openxmlformats.org/officeDocument/2006/relationships/hyperlink" Target="Viaturas%20EEM/AH-85-OP" TargetMode="External"/><Relationship Id="rId32" Type="http://schemas.openxmlformats.org/officeDocument/2006/relationships/hyperlink" Target="Viaturas%20EEM/AH-70-PI" TargetMode="External"/><Relationship Id="rId37" Type="http://schemas.openxmlformats.org/officeDocument/2006/relationships/hyperlink" Target="Viaturas%20EEM/AH-03-OQ" TargetMode="External"/><Relationship Id="rId53" Type="http://schemas.openxmlformats.org/officeDocument/2006/relationships/hyperlink" Target="Viaturas%20EEM/AI-43-ID" TargetMode="External"/><Relationship Id="rId58" Type="http://schemas.openxmlformats.org/officeDocument/2006/relationships/hyperlink" Target="Viaturas%20EEM/AI-48-ID" TargetMode="External"/><Relationship Id="rId74" Type="http://schemas.openxmlformats.org/officeDocument/2006/relationships/hyperlink" Target="Viaturas%20EEM/AJ-14-PQ" TargetMode="External"/><Relationship Id="rId79" Type="http://schemas.openxmlformats.org/officeDocument/2006/relationships/hyperlink" Target="https://autocrescente.sharepoint.com/:f:/s/Centrolider-Renting/EpLV0XVZBw5Fsys3bW4oHJkBhiQTxSYd9dMrshtBIm1nIg?e=C7sl8y" TargetMode="External"/><Relationship Id="rId102" Type="http://schemas.openxmlformats.org/officeDocument/2006/relationships/hyperlink" Target="https://autocrescente.sharepoint.com/:f:/s/Centrolider-Renting/ElltUNf3BcZAhClkRm2X-coBlDfQ3ySg_jLXf3AG5RVjFg?e=GmMqde" TargetMode="External"/><Relationship Id="rId5" Type="http://schemas.openxmlformats.org/officeDocument/2006/relationships/hyperlink" Target="Viaturas%20EEM/AH-83-OP" TargetMode="External"/><Relationship Id="rId90" Type="http://schemas.openxmlformats.org/officeDocument/2006/relationships/hyperlink" Target="https://autocrescente.sharepoint.com/:f:/s/Centrolider-Renting/Ek0_UIifkEtMkkJJOjlZSv0Bvzkx9VWVznzJarTRAw7EUg?e=U2isFt" TargetMode="External"/><Relationship Id="rId95" Type="http://schemas.openxmlformats.org/officeDocument/2006/relationships/hyperlink" Target="https://autocrescente.sharepoint.com/:f:/s/Centrolider-Renting/EtV77Q4XBvFItPLJUoS1U24B_RIW8Y1KB_mDtHjwyFcuVA?e=0nQYXz" TargetMode="External"/><Relationship Id="rId22" Type="http://schemas.openxmlformats.org/officeDocument/2006/relationships/hyperlink" Target="Viaturas%20EEM/AH-14-OQ" TargetMode="External"/><Relationship Id="rId27" Type="http://schemas.openxmlformats.org/officeDocument/2006/relationships/hyperlink" Target="Viaturas%20EEM/AH-12-OQ" TargetMode="External"/><Relationship Id="rId43" Type="http://schemas.openxmlformats.org/officeDocument/2006/relationships/hyperlink" Target="Viaturas%20EEM/AI-60-GG" TargetMode="External"/><Relationship Id="rId48" Type="http://schemas.openxmlformats.org/officeDocument/2006/relationships/hyperlink" Target="Viaturas%20EEM/AI-33-GH" TargetMode="External"/><Relationship Id="rId64" Type="http://schemas.openxmlformats.org/officeDocument/2006/relationships/hyperlink" Target="Viaturas%20EEM/AJ-25-BI" TargetMode="External"/><Relationship Id="rId69" Type="http://schemas.openxmlformats.org/officeDocument/2006/relationships/hyperlink" Target="Viaturas%20EEM/AJ-37-CD" TargetMode="External"/><Relationship Id="rId80" Type="http://schemas.openxmlformats.org/officeDocument/2006/relationships/hyperlink" Target="https://autocrescente.sharepoint.com/:f:/s/Centrolider-Renting/Et6HKprFY4lEkVXxUwmzohIBbsBmVx-Xkb66OUiaHzz8pg?e=11vrTI" TargetMode="External"/><Relationship Id="rId85" Type="http://schemas.openxmlformats.org/officeDocument/2006/relationships/hyperlink" Target="https://autocrescente.sharepoint.com/:f:/s/Centrolider-Renting/EnFBGEPY5V5EhZuNpbdHXsYB5JTMkYJyhJa3HVsOZa0PoQ?e=rFi1gy" TargetMode="External"/><Relationship Id="rId12" Type="http://schemas.openxmlformats.org/officeDocument/2006/relationships/hyperlink" Target="Viaturas%20EEM/AH-89-OP" TargetMode="External"/><Relationship Id="rId17" Type="http://schemas.openxmlformats.org/officeDocument/2006/relationships/hyperlink" Target="Viaturas%20EEM/AH-95-OP" TargetMode="External"/><Relationship Id="rId33" Type="http://schemas.openxmlformats.org/officeDocument/2006/relationships/hyperlink" Target="Viaturas%20EEM/AH-78-PI" TargetMode="External"/><Relationship Id="rId38" Type="http://schemas.openxmlformats.org/officeDocument/2006/relationships/hyperlink" Target="Viaturas%20EEM/AH-08-OQ" TargetMode="External"/><Relationship Id="rId59" Type="http://schemas.openxmlformats.org/officeDocument/2006/relationships/hyperlink" Target="Viaturas%20EEM/AI-40-ID" TargetMode="External"/><Relationship Id="rId103" Type="http://schemas.openxmlformats.org/officeDocument/2006/relationships/hyperlink" Target="https://autocrescente.sharepoint.com/:f:/s/Centrolider-Renting/Epo3SmzBqfZFvf_4VceeXzUB5SEQHvsp5p2auxJVeVIwKw?e=0Qcfgp" TargetMode="External"/><Relationship Id="rId20" Type="http://schemas.openxmlformats.org/officeDocument/2006/relationships/hyperlink" Target="Viaturas%20EEM/AH-75-PI" TargetMode="External"/><Relationship Id="rId41" Type="http://schemas.openxmlformats.org/officeDocument/2006/relationships/hyperlink" Target="Viaturas%20EEM/AI-69-GG" TargetMode="External"/><Relationship Id="rId54" Type="http://schemas.openxmlformats.org/officeDocument/2006/relationships/hyperlink" Target="Viaturas%20EEM/AI-46-ID" TargetMode="External"/><Relationship Id="rId62" Type="http://schemas.openxmlformats.org/officeDocument/2006/relationships/hyperlink" Target="Viaturas%20EEM/AJ-20-BI" TargetMode="External"/><Relationship Id="rId70" Type="http://schemas.openxmlformats.org/officeDocument/2006/relationships/hyperlink" Target="Viaturas%20EEM/AJ-26-CD" TargetMode="External"/><Relationship Id="rId75" Type="http://schemas.openxmlformats.org/officeDocument/2006/relationships/hyperlink" Target="Viaturas%20EEM/AJ-46-PQ" TargetMode="External"/><Relationship Id="rId83" Type="http://schemas.openxmlformats.org/officeDocument/2006/relationships/hyperlink" Target="https://autocrescente.sharepoint.com/:f:/s/Centrolider-Renting/Eibd7TAL5dpEl3osVZrxA3ABS9Quc4Srn9PMc-O_jFjCRg?e=Mrl50o" TargetMode="External"/><Relationship Id="rId88" Type="http://schemas.openxmlformats.org/officeDocument/2006/relationships/hyperlink" Target="https://autocrescente.sharepoint.com/:f:/s/Centrolider-Renting/EkXKIu2iiHJGuOjR8X8NDgoBxvU8GrIDdAtLf-sQhVqkoQ?e=QaoydL" TargetMode="External"/><Relationship Id="rId91" Type="http://schemas.openxmlformats.org/officeDocument/2006/relationships/hyperlink" Target="https://autocrescente.sharepoint.com/:f:/s/Centrolider-Renting/EoU7Sk9PwklFpgNev4Ty8VEB-dsO3gsFUUjC9CR8a4kDWA?e=N3JLux" TargetMode="External"/><Relationship Id="rId96" Type="http://schemas.openxmlformats.org/officeDocument/2006/relationships/hyperlink" Target="https://autocrescente.sharepoint.com/:f:/s/Centrolider-Renting/EmVKuFeTfyNEj8nIbt4sRiMBzFi9F90F3RIm5xYQLUmacw?e=WmcArE" TargetMode="External"/><Relationship Id="rId1" Type="http://schemas.openxmlformats.org/officeDocument/2006/relationships/hyperlink" Target="Viaturas%20EEM/AH-06-OQ" TargetMode="External"/><Relationship Id="rId6" Type="http://schemas.openxmlformats.org/officeDocument/2006/relationships/hyperlink" Target="https://autocrescente.sharepoint.com/:f:/s/Centrolider-Renting/EueNsb7IB59NgU8FPoVXRZcBClwQD39OUiVwoMYlZdaxVA?e=2ZoVQf" TargetMode="External"/><Relationship Id="rId15" Type="http://schemas.openxmlformats.org/officeDocument/2006/relationships/hyperlink" Target="Viaturas%20EEM/AH-20-OQ" TargetMode="External"/><Relationship Id="rId23" Type="http://schemas.openxmlformats.org/officeDocument/2006/relationships/hyperlink" Target="Viaturas%20EEM/AH-22-OQ" TargetMode="External"/><Relationship Id="rId28" Type="http://schemas.openxmlformats.org/officeDocument/2006/relationships/hyperlink" Target="Viaturas%20EEM/AH-92-OP" TargetMode="External"/><Relationship Id="rId36" Type="http://schemas.openxmlformats.org/officeDocument/2006/relationships/hyperlink" Target="Viaturas%20EEM/AH-07-OQ" TargetMode="External"/><Relationship Id="rId49" Type="http://schemas.openxmlformats.org/officeDocument/2006/relationships/hyperlink" Target="https://autocrescente.sharepoint.com/:f:/s/Centrolider-Renting/EslgKvEVa45CgGMNNQ3Rk_kBirNdt7Qxek_ZAkZ5CYLkYw?e=WK83hr" TargetMode="External"/><Relationship Id="rId57" Type="http://schemas.openxmlformats.org/officeDocument/2006/relationships/hyperlink" Target="Viaturas%20EEM/AI-33-ID" TargetMode="External"/><Relationship Id="rId10" Type="http://schemas.openxmlformats.org/officeDocument/2006/relationships/hyperlink" Target="Viaturas%20EEM/AH-16-OQ" TargetMode="External"/><Relationship Id="rId31" Type="http://schemas.openxmlformats.org/officeDocument/2006/relationships/hyperlink" Target="Viaturas%20EEM/AH-65-PI" TargetMode="External"/><Relationship Id="rId44" Type="http://schemas.openxmlformats.org/officeDocument/2006/relationships/hyperlink" Target="Viaturas%20EEM/AI-98-GG" TargetMode="External"/><Relationship Id="rId52" Type="http://schemas.openxmlformats.org/officeDocument/2006/relationships/hyperlink" Target="Viaturas%20EEM/AI-44-ID" TargetMode="External"/><Relationship Id="rId60" Type="http://schemas.openxmlformats.org/officeDocument/2006/relationships/hyperlink" Target="Viaturas%20EEM/AI-41-ID" TargetMode="External"/><Relationship Id="rId65" Type="http://schemas.openxmlformats.org/officeDocument/2006/relationships/hyperlink" Target="Viaturas%20EEM/AJ-16-BI" TargetMode="External"/><Relationship Id="rId73" Type="http://schemas.openxmlformats.org/officeDocument/2006/relationships/hyperlink" Target="Viaturas%20EEM/AJ-07-PQ" TargetMode="External"/><Relationship Id="rId78" Type="http://schemas.openxmlformats.org/officeDocument/2006/relationships/hyperlink" Target="Viaturas%20EEM/AL-85-BT" TargetMode="External"/><Relationship Id="rId81" Type="http://schemas.openxmlformats.org/officeDocument/2006/relationships/hyperlink" Target="https://autocrescente.sharepoint.com/:f:/s/Centrolider-Renting/EhzMz8Ie1LFEgNRUfOtLX8sBrmKxpBx9jv42DTix78pqQQ?e=ZNhAWg" TargetMode="External"/><Relationship Id="rId86" Type="http://schemas.openxmlformats.org/officeDocument/2006/relationships/hyperlink" Target="https://autocrescente.sharepoint.com/:f:/s/Centrolider-Renting/Evln0YNVmGlDjQHkRshfNIEBh7qYYZ0lQDuvqCAmxgPHjg?e=DRnCgY" TargetMode="External"/><Relationship Id="rId94" Type="http://schemas.openxmlformats.org/officeDocument/2006/relationships/hyperlink" Target="https://autocrescente.sharepoint.com/:f:/s/Centrolider-Renting/EqFHzCVKeqtOppYcS7V66LwBiSx_M5Od46latQB5Z8cwfQ?e=rSxEwF" TargetMode="External"/><Relationship Id="rId99" Type="http://schemas.openxmlformats.org/officeDocument/2006/relationships/hyperlink" Target="Viaturas%20EEM/AH-00-OQ" TargetMode="External"/><Relationship Id="rId101" Type="http://schemas.openxmlformats.org/officeDocument/2006/relationships/hyperlink" Target="https://autocrescente.sharepoint.com/:f:/s/Centrolider-Renting/EpwAOQfx5XNFmy0pI_d9ef0B4X1LQ8hnKooVxqTHVaV4ww?e=saOkjr" TargetMode="External"/><Relationship Id="rId4" Type="http://schemas.openxmlformats.org/officeDocument/2006/relationships/hyperlink" Target="Viaturas%20EEM/AH-98-OP" TargetMode="External"/><Relationship Id="rId9" Type="http://schemas.openxmlformats.org/officeDocument/2006/relationships/hyperlink" Target="Viaturas%20EEM/AH-84-OP" TargetMode="External"/><Relationship Id="rId13" Type="http://schemas.openxmlformats.org/officeDocument/2006/relationships/hyperlink" Target="Viaturas%20EEM/AH-01-OQ" TargetMode="External"/><Relationship Id="rId18" Type="http://schemas.openxmlformats.org/officeDocument/2006/relationships/hyperlink" Target="https://autocrescente.sharepoint.com/:f:/s/Centrolider-Renting/Es9LYpIf6xxPr7RO8uE65IsBNzOAn0QGAi5cnI0ZMMXn9A?e=BTdkag" TargetMode="External"/><Relationship Id="rId39" Type="http://schemas.openxmlformats.org/officeDocument/2006/relationships/hyperlink" Target="Viaturas%20EEM/AI-38-ET" TargetMode="External"/><Relationship Id="rId34" Type="http://schemas.openxmlformats.org/officeDocument/2006/relationships/hyperlink" Target="Viaturas%20EEM/AH-93-OP" TargetMode="External"/><Relationship Id="rId50" Type="http://schemas.openxmlformats.org/officeDocument/2006/relationships/hyperlink" Target="Viaturas%20EEM/AH-65-ZF" TargetMode="External"/><Relationship Id="rId55" Type="http://schemas.openxmlformats.org/officeDocument/2006/relationships/hyperlink" Target="Viaturas%20EEM/AI-50-ID" TargetMode="External"/><Relationship Id="rId76" Type="http://schemas.openxmlformats.org/officeDocument/2006/relationships/hyperlink" Target="Viaturas%20EEM/AL-70-BU" TargetMode="External"/><Relationship Id="rId97" Type="http://schemas.openxmlformats.org/officeDocument/2006/relationships/hyperlink" Target="https://autocrescente.sharepoint.com/:f:/s/Centrolider-Renting/Em7W2gZ2x0NHlD1T68wiaYcB-zWSmDZkdleyXSAIU5ozhA?e=vvAAyx" TargetMode="External"/><Relationship Id="rId104" Type="http://schemas.openxmlformats.org/officeDocument/2006/relationships/hyperlink" Target="https://autocrescente.sharepoint.com/:f:/s/Centrolider-Renting/Ej0rdc4EpE5Ir446dMiGty8BjkjMF3ZwmHGbLdLYJnZMyg?e=qUDPHu" TargetMode="External"/><Relationship Id="rId7" Type="http://schemas.openxmlformats.org/officeDocument/2006/relationships/hyperlink" Target="Viaturas%20EEM/AH-09-OQ" TargetMode="External"/><Relationship Id="rId71" Type="http://schemas.openxmlformats.org/officeDocument/2006/relationships/hyperlink" Target="Viaturas%20EEM/AJ-35-CD" TargetMode="External"/><Relationship Id="rId92" Type="http://schemas.openxmlformats.org/officeDocument/2006/relationships/hyperlink" Target="https://autocrescente.sharepoint.com/:f:/s/Centrolider-Renting/EgfCuqpTEmxGtmZ6V3g21GEB90UxDapFFwxN3eYPxdGvXA?e=659dZW" TargetMode="External"/><Relationship Id="rId2" Type="http://schemas.openxmlformats.org/officeDocument/2006/relationships/hyperlink" Target="Viaturas%20EEM/AH-99-OP" TargetMode="External"/><Relationship Id="rId29" Type="http://schemas.openxmlformats.org/officeDocument/2006/relationships/hyperlink" Target="Viaturas%20EEM/AH-86-OP" TargetMode="External"/><Relationship Id="rId24" Type="http://schemas.openxmlformats.org/officeDocument/2006/relationships/hyperlink" Target="Viaturas%20EEM/AH-66-PI" TargetMode="External"/><Relationship Id="rId40" Type="http://schemas.openxmlformats.org/officeDocument/2006/relationships/hyperlink" Target="Viaturas%20EEM/AI-07-GH" TargetMode="External"/><Relationship Id="rId45" Type="http://schemas.openxmlformats.org/officeDocument/2006/relationships/hyperlink" Target="Viaturas%20EEM/AI-08-GH" TargetMode="External"/><Relationship Id="rId66" Type="http://schemas.openxmlformats.org/officeDocument/2006/relationships/hyperlink" Target="Viaturas%20EEM/AJ-22-BI" TargetMode="External"/><Relationship Id="rId87" Type="http://schemas.openxmlformats.org/officeDocument/2006/relationships/hyperlink" Target="https://autocrescente.sharepoint.com/:f:/s/Centrolider-Renting/EqjEo7HKCiJJmWbypJn_TPMB3Q-YhDBZuqePrTjq3qP7xg?e=m6XVCb" TargetMode="External"/><Relationship Id="rId61" Type="http://schemas.openxmlformats.org/officeDocument/2006/relationships/hyperlink" Target="Viaturas%20EEM/AJ-17-BI" TargetMode="External"/><Relationship Id="rId82" Type="http://schemas.openxmlformats.org/officeDocument/2006/relationships/hyperlink" Target="https://autocrescente.sharepoint.com/:f:/s/Centrolider-Renting/En8X5Yqdr-5BjqAaZiY1nVIBBN41QWw2ssjAF8uJmWo6Uw?e=sGGerF" TargetMode="External"/><Relationship Id="rId19" Type="http://schemas.openxmlformats.org/officeDocument/2006/relationships/hyperlink" Target="Viaturas%20EEM/AH-71-PI" TargetMode="External"/><Relationship Id="rId14" Type="http://schemas.openxmlformats.org/officeDocument/2006/relationships/hyperlink" Target="Viaturas%20EEM/AH-02-OQ" TargetMode="External"/><Relationship Id="rId30" Type="http://schemas.openxmlformats.org/officeDocument/2006/relationships/hyperlink" Target="Viaturas%20EEM/AH-88-OP" TargetMode="External"/><Relationship Id="rId35" Type="http://schemas.openxmlformats.org/officeDocument/2006/relationships/hyperlink" Target="Viaturas%20EEM/AH-05-OQ" TargetMode="External"/><Relationship Id="rId56" Type="http://schemas.openxmlformats.org/officeDocument/2006/relationships/hyperlink" Target="Viaturas%20EEM/AI-49-ID" TargetMode="External"/><Relationship Id="rId77" Type="http://schemas.openxmlformats.org/officeDocument/2006/relationships/hyperlink" Target="Viaturas%20EEM/AL-00-BT" TargetMode="External"/><Relationship Id="rId100" Type="http://schemas.openxmlformats.org/officeDocument/2006/relationships/hyperlink" Target="Viaturas%20EEM/AJ-36-PQ" TargetMode="External"/><Relationship Id="rId105" Type="http://schemas.openxmlformats.org/officeDocument/2006/relationships/hyperlink" Target="https://autocrescente.sharepoint.com/:f:/s/Centrolider-Renting/EnHxvxE4lZFEmJtE2dDPLAgBJ_CD6t2S1DLiBbdugXsPRA?e=mNbgOL" TargetMode="External"/><Relationship Id="rId8" Type="http://schemas.openxmlformats.org/officeDocument/2006/relationships/hyperlink" Target="Viaturas%20EEM/AH-96-OP" TargetMode="External"/><Relationship Id="rId51" Type="http://schemas.openxmlformats.org/officeDocument/2006/relationships/hyperlink" Target="Viaturas%20EEM/AH-05-ZH" TargetMode="External"/><Relationship Id="rId72" Type="http://schemas.openxmlformats.org/officeDocument/2006/relationships/hyperlink" Target="Viaturas%20EEM/AJ-18-CD" TargetMode="External"/><Relationship Id="rId93" Type="http://schemas.openxmlformats.org/officeDocument/2006/relationships/hyperlink" Target="https://autocrescente.sharepoint.com/:f:/s/Centrolider-Renting/ElAExwAHM4BDvnSX1OudyhQBHzNowuq8LJBN-S-mCfgv4g?e=wBUhaa" TargetMode="External"/><Relationship Id="rId98" Type="http://schemas.openxmlformats.org/officeDocument/2006/relationships/hyperlink" Target="https://autocrescente.sharepoint.com/:f:/s/Centrolider-Renting/EohAv4qoUgFHvZeZbKjwJokBSLyEogs-a92w9psqHCpAyg?e=t5fThb" TargetMode="External"/><Relationship Id="rId3" Type="http://schemas.openxmlformats.org/officeDocument/2006/relationships/hyperlink" Target="Viaturas%20EEM/AH-18-OQ" TargetMode="External"/><Relationship Id="rId25" Type="http://schemas.openxmlformats.org/officeDocument/2006/relationships/hyperlink" Target="Viaturas%20EEM/AH-04-OQ" TargetMode="External"/><Relationship Id="rId46" Type="http://schemas.openxmlformats.org/officeDocument/2006/relationships/hyperlink" Target="Viaturas%20EEM/AI-84-GG" TargetMode="External"/><Relationship Id="rId67" Type="http://schemas.openxmlformats.org/officeDocument/2006/relationships/hyperlink" Target="Viaturas%20EEM/AJ-30-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08"/>
  <sheetViews>
    <sheetView tabSelected="1" workbookViewId="0">
      <selection activeCell="N8" sqref="N8"/>
    </sheetView>
  </sheetViews>
  <sheetFormatPr defaultRowHeight="15"/>
  <sheetData>
    <row r="1" spans="1:11" ht="4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6" t="s">
        <v>7</v>
      </c>
      <c r="I1" s="1" t="s">
        <v>8</v>
      </c>
      <c r="J1" s="7" t="s">
        <v>9</v>
      </c>
      <c r="K1" s="8" t="s">
        <v>10</v>
      </c>
    </row>
    <row r="2" spans="1:11">
      <c r="A2" s="9">
        <v>531</v>
      </c>
      <c r="B2" s="10">
        <v>44525</v>
      </c>
      <c r="C2" s="11" t="s">
        <v>11</v>
      </c>
      <c r="D2" s="12">
        <v>44511</v>
      </c>
      <c r="E2" s="13" t="s">
        <v>12</v>
      </c>
      <c r="F2" s="13">
        <v>242.04</v>
      </c>
      <c r="G2" s="10">
        <v>45972</v>
      </c>
      <c r="H2" s="14"/>
      <c r="I2" s="15">
        <v>15000</v>
      </c>
      <c r="J2" s="16">
        <v>40381</v>
      </c>
      <c r="K2" s="13">
        <v>78844</v>
      </c>
    </row>
    <row r="3" spans="1:11">
      <c r="A3" s="17">
        <v>537</v>
      </c>
      <c r="B3" s="18">
        <v>44526</v>
      </c>
      <c r="C3" s="19" t="s">
        <v>13</v>
      </c>
      <c r="D3" s="20">
        <v>44511</v>
      </c>
      <c r="E3" s="21" t="s">
        <v>12</v>
      </c>
      <c r="F3" s="21">
        <v>242.04</v>
      </c>
      <c r="G3" s="10">
        <v>45972</v>
      </c>
      <c r="H3" s="22"/>
      <c r="I3" s="23">
        <v>15000</v>
      </c>
      <c r="J3" s="16">
        <v>126830</v>
      </c>
      <c r="K3" s="13">
        <v>168758</v>
      </c>
    </row>
    <row r="4" spans="1:11">
      <c r="A4" s="17"/>
      <c r="B4" s="18">
        <v>44578</v>
      </c>
      <c r="C4" s="24" t="s">
        <v>14</v>
      </c>
      <c r="D4" s="25">
        <v>44557</v>
      </c>
      <c r="E4" s="26" t="s">
        <v>15</v>
      </c>
      <c r="F4" s="21">
        <v>339.47</v>
      </c>
      <c r="G4" s="18">
        <v>46018</v>
      </c>
      <c r="H4" s="21"/>
      <c r="I4" s="27">
        <v>25000</v>
      </c>
      <c r="J4" s="28">
        <v>43700</v>
      </c>
      <c r="K4" s="13">
        <v>53344</v>
      </c>
    </row>
    <row r="5" spans="1:11">
      <c r="A5" s="29"/>
      <c r="B5" s="18">
        <v>44578</v>
      </c>
      <c r="C5" s="24" t="s">
        <v>16</v>
      </c>
      <c r="D5" s="25">
        <v>44557</v>
      </c>
      <c r="E5" s="26" t="s">
        <v>17</v>
      </c>
      <c r="F5" s="21">
        <v>339.47</v>
      </c>
      <c r="G5" s="18">
        <v>46018</v>
      </c>
      <c r="H5" s="21"/>
      <c r="I5" s="23">
        <v>25000</v>
      </c>
      <c r="J5" s="16">
        <v>37013</v>
      </c>
      <c r="K5" s="13">
        <v>56413</v>
      </c>
    </row>
    <row r="6" spans="1:11">
      <c r="A6" s="17"/>
      <c r="B6" s="18">
        <v>44578</v>
      </c>
      <c r="C6" s="24" t="s">
        <v>18</v>
      </c>
      <c r="D6" s="25">
        <v>44557</v>
      </c>
      <c r="E6" s="26" t="s">
        <v>15</v>
      </c>
      <c r="F6" s="21">
        <v>339.47</v>
      </c>
      <c r="G6" s="18">
        <v>46018</v>
      </c>
      <c r="H6" s="21"/>
      <c r="I6" s="23">
        <v>25000</v>
      </c>
      <c r="J6" s="16">
        <v>54400</v>
      </c>
      <c r="K6" s="13">
        <v>99231</v>
      </c>
    </row>
    <row r="7" spans="1:11">
      <c r="A7" s="30"/>
      <c r="B7" s="31">
        <v>44942</v>
      </c>
      <c r="C7" s="32" t="s">
        <v>19</v>
      </c>
      <c r="D7" s="33">
        <v>44921</v>
      </c>
      <c r="E7" s="34" t="s">
        <v>20</v>
      </c>
      <c r="F7" s="21">
        <v>339.47</v>
      </c>
      <c r="G7" s="35">
        <v>46357</v>
      </c>
      <c r="H7" s="21"/>
      <c r="I7" s="23">
        <v>25000</v>
      </c>
      <c r="J7" s="16">
        <v>48549</v>
      </c>
      <c r="K7" s="13">
        <v>82719</v>
      </c>
    </row>
    <row r="8" spans="1:11">
      <c r="A8" s="17"/>
      <c r="B8" s="31">
        <v>44774</v>
      </c>
      <c r="C8" s="32" t="s">
        <v>21</v>
      </c>
      <c r="D8" s="36">
        <v>44739</v>
      </c>
      <c r="E8" s="34" t="s">
        <v>17</v>
      </c>
      <c r="F8" s="21">
        <v>339.47</v>
      </c>
      <c r="G8" s="18">
        <v>46200</v>
      </c>
      <c r="H8" s="21"/>
      <c r="I8" s="23">
        <v>25000</v>
      </c>
      <c r="J8" s="16">
        <v>12180</v>
      </c>
      <c r="K8" s="13">
        <v>24439</v>
      </c>
    </row>
    <row r="9" spans="1:11">
      <c r="A9" s="17"/>
      <c r="B9" s="31">
        <v>44774</v>
      </c>
      <c r="C9" s="32" t="s">
        <v>22</v>
      </c>
      <c r="D9" s="36">
        <v>44739</v>
      </c>
      <c r="E9" s="34" t="s">
        <v>15</v>
      </c>
      <c r="F9" s="21">
        <v>339.47</v>
      </c>
      <c r="G9" s="18">
        <v>46200</v>
      </c>
      <c r="H9" s="21"/>
      <c r="I9" s="23">
        <v>25000</v>
      </c>
      <c r="J9" s="16">
        <v>14402</v>
      </c>
      <c r="K9" s="13">
        <v>42384</v>
      </c>
    </row>
    <row r="10" spans="1:11">
      <c r="A10" s="37">
        <v>444</v>
      </c>
      <c r="B10" s="38">
        <v>44480</v>
      </c>
      <c r="C10" s="39" t="s">
        <v>23</v>
      </c>
      <c r="D10" s="40">
        <v>44468</v>
      </c>
      <c r="E10" s="21" t="s">
        <v>24</v>
      </c>
      <c r="F10" s="21">
        <v>353.43</v>
      </c>
      <c r="G10" s="18">
        <v>45929</v>
      </c>
      <c r="H10" s="18">
        <v>45941</v>
      </c>
      <c r="I10" s="23">
        <v>15000</v>
      </c>
      <c r="J10" s="16">
        <v>26148</v>
      </c>
      <c r="K10" s="13">
        <v>35657</v>
      </c>
    </row>
    <row r="11" spans="1:11">
      <c r="A11" s="37">
        <v>445</v>
      </c>
      <c r="B11" s="38">
        <v>44480</v>
      </c>
      <c r="C11" s="39" t="s">
        <v>25</v>
      </c>
      <c r="D11" s="40">
        <v>44468</v>
      </c>
      <c r="E11" s="21" t="s">
        <v>24</v>
      </c>
      <c r="F11" s="21">
        <v>353.43</v>
      </c>
      <c r="G11" s="18">
        <v>45929</v>
      </c>
      <c r="H11" s="18">
        <v>45941</v>
      </c>
      <c r="I11" s="23">
        <v>15000</v>
      </c>
      <c r="J11" s="21">
        <v>39589</v>
      </c>
      <c r="K11" s="13">
        <v>42063</v>
      </c>
    </row>
    <row r="12" spans="1:11">
      <c r="A12" s="17">
        <v>399</v>
      </c>
      <c r="B12" s="18">
        <v>44433</v>
      </c>
      <c r="C12" s="39" t="s">
        <v>26</v>
      </c>
      <c r="D12" s="40">
        <v>44431</v>
      </c>
      <c r="E12" s="21" t="s">
        <v>24</v>
      </c>
      <c r="F12" s="21">
        <v>353.43</v>
      </c>
      <c r="G12" s="18">
        <v>45892</v>
      </c>
      <c r="H12" s="18">
        <v>45894</v>
      </c>
      <c r="I12" s="23">
        <v>15000</v>
      </c>
      <c r="J12" s="21">
        <v>41424</v>
      </c>
      <c r="K12" s="13">
        <v>58429</v>
      </c>
    </row>
    <row r="13" spans="1:11">
      <c r="A13" s="17">
        <v>395</v>
      </c>
      <c r="B13" s="18">
        <v>44433</v>
      </c>
      <c r="C13" s="39" t="s">
        <v>27</v>
      </c>
      <c r="D13" s="40">
        <v>44431</v>
      </c>
      <c r="E13" s="21" t="s">
        <v>24</v>
      </c>
      <c r="F13" s="21">
        <v>353.43</v>
      </c>
      <c r="G13" s="18">
        <v>45892</v>
      </c>
      <c r="H13" s="18">
        <v>45894</v>
      </c>
      <c r="I13" s="23">
        <v>15000</v>
      </c>
      <c r="J13" s="21">
        <v>26574</v>
      </c>
      <c r="K13" s="13">
        <v>34199</v>
      </c>
    </row>
    <row r="14" spans="1:11">
      <c r="A14" s="17">
        <v>396</v>
      </c>
      <c r="B14" s="18">
        <v>44433</v>
      </c>
      <c r="C14" s="39" t="s">
        <v>28</v>
      </c>
      <c r="D14" s="40">
        <v>44431</v>
      </c>
      <c r="E14" s="21" t="s">
        <v>24</v>
      </c>
      <c r="F14" s="21">
        <v>353.43</v>
      </c>
      <c r="G14" s="18">
        <v>45892</v>
      </c>
      <c r="H14" s="18">
        <v>45894</v>
      </c>
      <c r="I14" s="23">
        <v>15000</v>
      </c>
      <c r="J14" s="21">
        <v>54907</v>
      </c>
      <c r="K14" s="13">
        <v>78492</v>
      </c>
    </row>
    <row r="15" spans="1:11">
      <c r="A15" s="17">
        <v>400</v>
      </c>
      <c r="B15" s="18">
        <v>44433</v>
      </c>
      <c r="C15" s="39" t="s">
        <v>29</v>
      </c>
      <c r="D15" s="40">
        <v>44431</v>
      </c>
      <c r="E15" s="21" t="s">
        <v>24</v>
      </c>
      <c r="F15" s="21">
        <v>353.43</v>
      </c>
      <c r="G15" s="18">
        <v>45892</v>
      </c>
      <c r="H15" s="18">
        <v>45894</v>
      </c>
      <c r="I15" s="23">
        <v>15000</v>
      </c>
      <c r="J15" s="21">
        <v>39393</v>
      </c>
      <c r="K15" s="13">
        <v>70658</v>
      </c>
    </row>
    <row r="16" spans="1:11">
      <c r="A16" s="17">
        <v>398</v>
      </c>
      <c r="B16" s="18">
        <v>44433</v>
      </c>
      <c r="C16" s="39" t="s">
        <v>30</v>
      </c>
      <c r="D16" s="40">
        <v>44431</v>
      </c>
      <c r="E16" s="21" t="s">
        <v>24</v>
      </c>
      <c r="F16" s="21">
        <v>353.43</v>
      </c>
      <c r="G16" s="18">
        <v>45892</v>
      </c>
      <c r="H16" s="18">
        <v>45894</v>
      </c>
      <c r="I16" s="23">
        <v>15000</v>
      </c>
      <c r="J16" s="16">
        <v>128320</v>
      </c>
      <c r="K16" s="13">
        <v>128320</v>
      </c>
    </row>
    <row r="17" spans="1:257">
      <c r="A17" s="17">
        <v>397</v>
      </c>
      <c r="B17" s="18">
        <v>44433</v>
      </c>
      <c r="C17" s="39" t="s">
        <v>31</v>
      </c>
      <c r="D17" s="40">
        <v>44431</v>
      </c>
      <c r="E17" s="21" t="s">
        <v>24</v>
      </c>
      <c r="F17" s="21">
        <v>353.43</v>
      </c>
      <c r="G17" s="18">
        <v>45892</v>
      </c>
      <c r="H17" s="18">
        <v>45894</v>
      </c>
      <c r="I17" s="23">
        <v>15000</v>
      </c>
      <c r="J17" s="21">
        <v>38936</v>
      </c>
      <c r="K17" s="13">
        <v>38957</v>
      </c>
    </row>
    <row r="18" spans="1:257">
      <c r="A18" s="37">
        <v>447</v>
      </c>
      <c r="B18" s="38">
        <v>44480</v>
      </c>
      <c r="C18" s="39" t="s">
        <v>32</v>
      </c>
      <c r="D18" s="40">
        <v>44468</v>
      </c>
      <c r="E18" s="21" t="s">
        <v>24</v>
      </c>
      <c r="F18" s="21">
        <v>353.43</v>
      </c>
      <c r="G18" s="18">
        <v>45929</v>
      </c>
      <c r="H18" s="18">
        <v>45941</v>
      </c>
      <c r="I18" s="23">
        <v>15000</v>
      </c>
      <c r="J18" s="21">
        <v>27732</v>
      </c>
      <c r="K18" s="13">
        <v>46163</v>
      </c>
    </row>
    <row r="19" spans="1:257">
      <c r="A19" s="37">
        <v>446</v>
      </c>
      <c r="B19" s="38">
        <v>44480</v>
      </c>
      <c r="C19" s="39" t="s">
        <v>33</v>
      </c>
      <c r="D19" s="40">
        <v>44468</v>
      </c>
      <c r="E19" s="21" t="s">
        <v>24</v>
      </c>
      <c r="F19" s="21">
        <v>353.43</v>
      </c>
      <c r="G19" s="18">
        <v>45929</v>
      </c>
      <c r="H19" s="18">
        <v>45941</v>
      </c>
      <c r="I19" s="23">
        <v>15000</v>
      </c>
      <c r="J19" s="21">
        <v>19578</v>
      </c>
      <c r="K19" s="13">
        <v>44861</v>
      </c>
    </row>
    <row r="20" spans="1:257">
      <c r="A20" s="17">
        <v>525</v>
      </c>
      <c r="B20" s="38">
        <v>44509</v>
      </c>
      <c r="C20" s="39" t="s">
        <v>34</v>
      </c>
      <c r="D20" s="40">
        <v>44496</v>
      </c>
      <c r="E20" s="21" t="s">
        <v>24</v>
      </c>
      <c r="F20" s="21">
        <v>353.43</v>
      </c>
      <c r="G20" s="18">
        <v>45970</v>
      </c>
      <c r="H20" s="21"/>
      <c r="I20" s="23">
        <v>15000</v>
      </c>
      <c r="J20" s="21">
        <v>21957</v>
      </c>
      <c r="K20" s="13">
        <v>55242</v>
      </c>
    </row>
    <row r="21" spans="1:257">
      <c r="A21" s="17">
        <v>535</v>
      </c>
      <c r="B21" s="38">
        <v>44529</v>
      </c>
      <c r="C21" s="32" t="s">
        <v>35</v>
      </c>
      <c r="D21" s="40">
        <v>44511</v>
      </c>
      <c r="E21" s="21" t="s">
        <v>24</v>
      </c>
      <c r="F21" s="21">
        <v>353.43</v>
      </c>
      <c r="G21" s="18">
        <v>45972</v>
      </c>
      <c r="H21" s="21"/>
      <c r="I21" s="23">
        <v>15000</v>
      </c>
      <c r="J21" s="21">
        <v>69182</v>
      </c>
      <c r="K21" s="13">
        <v>139446</v>
      </c>
    </row>
    <row r="22" spans="1:257">
      <c r="A22" s="17"/>
      <c r="B22" s="38">
        <v>44566</v>
      </c>
      <c r="C22" s="41" t="s">
        <v>36</v>
      </c>
      <c r="D22" s="40">
        <v>44526</v>
      </c>
      <c r="E22" s="21" t="s">
        <v>24</v>
      </c>
      <c r="F22" s="21">
        <v>353.43</v>
      </c>
      <c r="G22" s="18">
        <v>45987</v>
      </c>
      <c r="H22" s="21"/>
      <c r="I22" s="23">
        <v>15000</v>
      </c>
      <c r="J22" s="16">
        <v>10831</v>
      </c>
      <c r="K22" s="13">
        <v>43211</v>
      </c>
    </row>
    <row r="23" spans="1:257">
      <c r="A23" s="17"/>
      <c r="B23" s="38">
        <v>44566</v>
      </c>
      <c r="C23" s="41" t="s">
        <v>37</v>
      </c>
      <c r="D23" s="40">
        <v>44551</v>
      </c>
      <c r="E23" s="21" t="s">
        <v>24</v>
      </c>
      <c r="F23" s="21">
        <v>353.43</v>
      </c>
      <c r="G23" s="18">
        <v>46012</v>
      </c>
      <c r="H23" s="21"/>
      <c r="I23" s="23">
        <v>15000</v>
      </c>
      <c r="J23" s="21">
        <v>42191</v>
      </c>
      <c r="K23" s="13">
        <v>81231</v>
      </c>
    </row>
    <row r="24" spans="1:257">
      <c r="A24" s="17">
        <v>609</v>
      </c>
      <c r="B24" s="38">
        <v>44679</v>
      </c>
      <c r="C24" s="41" t="s">
        <v>38</v>
      </c>
      <c r="D24" s="40">
        <v>44672</v>
      </c>
      <c r="E24" s="21" t="s">
        <v>24</v>
      </c>
      <c r="F24" s="21">
        <v>353.43</v>
      </c>
      <c r="G24" s="18">
        <v>46133</v>
      </c>
      <c r="H24" s="21"/>
      <c r="I24" s="23">
        <v>15000</v>
      </c>
      <c r="J24" s="21">
        <v>45776</v>
      </c>
      <c r="K24" s="13">
        <v>79802</v>
      </c>
    </row>
    <row r="25" spans="1:257">
      <c r="A25" s="17">
        <v>610</v>
      </c>
      <c r="B25" s="38">
        <v>44679</v>
      </c>
      <c r="C25" s="41" t="s">
        <v>39</v>
      </c>
      <c r="D25" s="40">
        <v>44672</v>
      </c>
      <c r="E25" s="21" t="s">
        <v>24</v>
      </c>
      <c r="F25" s="21">
        <v>353.43</v>
      </c>
      <c r="G25" s="18">
        <v>46133</v>
      </c>
      <c r="H25" s="21"/>
      <c r="I25" s="23">
        <v>15000</v>
      </c>
      <c r="J25" s="21">
        <v>27887</v>
      </c>
      <c r="K25" s="13">
        <v>64215</v>
      </c>
    </row>
    <row r="26" spans="1:257">
      <c r="A26" s="42">
        <v>605</v>
      </c>
      <c r="B26" s="38">
        <v>44679</v>
      </c>
      <c r="C26" s="43" t="s">
        <v>40</v>
      </c>
      <c r="D26" s="44">
        <v>44672</v>
      </c>
      <c r="E26" s="45" t="s">
        <v>24</v>
      </c>
      <c r="F26" s="45">
        <v>353.43</v>
      </c>
      <c r="G26" s="46">
        <v>46133</v>
      </c>
      <c r="H26" s="45"/>
      <c r="I26" s="47">
        <v>15000</v>
      </c>
      <c r="J26" s="48">
        <v>5749</v>
      </c>
      <c r="K26" s="13">
        <v>17100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P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F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V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L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B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R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H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X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N26" s="49"/>
      <c r="IO26" s="49"/>
      <c r="IP26" s="49"/>
      <c r="IQ26" s="49"/>
      <c r="IR26" s="49"/>
      <c r="IS26" s="49"/>
      <c r="IT26" s="49"/>
      <c r="IU26" s="49"/>
      <c r="IV26" s="49"/>
      <c r="IW26" s="49"/>
    </row>
    <row r="27" spans="1:257">
      <c r="A27" s="17">
        <v>606</v>
      </c>
      <c r="B27" s="38">
        <v>44679</v>
      </c>
      <c r="C27" s="41" t="s">
        <v>41</v>
      </c>
      <c r="D27" s="40">
        <v>44672</v>
      </c>
      <c r="E27" s="21" t="s">
        <v>24</v>
      </c>
      <c r="F27" s="21">
        <v>353.43</v>
      </c>
      <c r="G27" s="18">
        <v>46133</v>
      </c>
      <c r="H27" s="21"/>
      <c r="I27" s="23">
        <v>15000</v>
      </c>
      <c r="J27" s="21">
        <v>6308</v>
      </c>
      <c r="K27" s="13">
        <v>22669</v>
      </c>
    </row>
    <row r="28" spans="1:257">
      <c r="A28" s="17">
        <v>607</v>
      </c>
      <c r="B28" s="38">
        <v>44679</v>
      </c>
      <c r="C28" s="41" t="s">
        <v>42</v>
      </c>
      <c r="D28" s="40">
        <v>44672</v>
      </c>
      <c r="E28" s="21" t="s">
        <v>24</v>
      </c>
      <c r="F28" s="21">
        <v>353.43</v>
      </c>
      <c r="G28" s="18">
        <v>46133</v>
      </c>
      <c r="H28" s="21"/>
      <c r="I28" s="23">
        <v>15000</v>
      </c>
      <c r="J28" s="21">
        <v>46246</v>
      </c>
      <c r="K28" s="13">
        <v>82811</v>
      </c>
    </row>
    <row r="29" spans="1:257">
      <c r="A29" s="17">
        <v>608</v>
      </c>
      <c r="B29" s="38">
        <v>44679</v>
      </c>
      <c r="C29" s="41" t="s">
        <v>43</v>
      </c>
      <c r="D29" s="40">
        <v>44672</v>
      </c>
      <c r="E29" s="21" t="s">
        <v>24</v>
      </c>
      <c r="F29" s="21">
        <v>353.43</v>
      </c>
      <c r="G29" s="18">
        <v>46133</v>
      </c>
      <c r="H29" s="21"/>
      <c r="I29" s="23">
        <v>15000</v>
      </c>
      <c r="J29" s="21">
        <v>17455</v>
      </c>
      <c r="K29" s="13">
        <v>49972</v>
      </c>
    </row>
    <row r="30" spans="1:257">
      <c r="A30" s="17">
        <v>402</v>
      </c>
      <c r="B30" s="50">
        <v>44435</v>
      </c>
      <c r="C30" s="51" t="s">
        <v>44</v>
      </c>
      <c r="D30" s="40">
        <v>44434</v>
      </c>
      <c r="E30" s="52" t="s">
        <v>45</v>
      </c>
      <c r="F30" s="21">
        <v>378.38</v>
      </c>
      <c r="G30" s="38">
        <v>45164</v>
      </c>
      <c r="H30" s="18">
        <v>45896</v>
      </c>
      <c r="I30" s="53">
        <v>20000</v>
      </c>
      <c r="J30" s="54">
        <v>40660</v>
      </c>
      <c r="K30" s="13">
        <v>68847</v>
      </c>
    </row>
    <row r="31" spans="1:257">
      <c r="A31" s="55">
        <v>406</v>
      </c>
      <c r="B31" s="56">
        <v>44435</v>
      </c>
      <c r="C31" s="57" t="s">
        <v>46</v>
      </c>
      <c r="D31" s="40">
        <v>44434</v>
      </c>
      <c r="E31" s="52" t="s">
        <v>45</v>
      </c>
      <c r="F31" s="21">
        <v>378.38</v>
      </c>
      <c r="G31" s="38">
        <v>45164</v>
      </c>
      <c r="H31" s="18">
        <v>45896</v>
      </c>
      <c r="I31" s="53">
        <v>20000</v>
      </c>
      <c r="J31" s="21">
        <v>16409</v>
      </c>
      <c r="K31" s="13">
        <v>51786</v>
      </c>
    </row>
    <row r="32" spans="1:257">
      <c r="A32" s="58">
        <v>404</v>
      </c>
      <c r="B32" s="59">
        <v>44435</v>
      </c>
      <c r="C32" s="57" t="s">
        <v>47</v>
      </c>
      <c r="D32" s="60">
        <v>44434</v>
      </c>
      <c r="E32" s="52" t="s">
        <v>45</v>
      </c>
      <c r="F32" s="61">
        <v>378.38</v>
      </c>
      <c r="G32" s="38">
        <v>45164</v>
      </c>
      <c r="H32" s="62">
        <v>45896</v>
      </c>
      <c r="I32" s="53">
        <v>20000</v>
      </c>
      <c r="J32" s="61">
        <v>65120</v>
      </c>
      <c r="K32" s="13">
        <v>110436</v>
      </c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N32" s="63"/>
      <c r="CO32" s="63"/>
      <c r="CP32" s="63"/>
      <c r="CQ32" s="63"/>
      <c r="CR32" s="63"/>
      <c r="CS32" s="63"/>
      <c r="CT32" s="63"/>
      <c r="CU32" s="63"/>
      <c r="CV32" s="63"/>
      <c r="CW32" s="63"/>
      <c r="CX32" s="63"/>
      <c r="CY32" s="63"/>
      <c r="CZ32" s="63"/>
      <c r="DA32" s="63"/>
      <c r="DB32" s="63"/>
      <c r="DC32" s="63"/>
      <c r="DD32" s="63"/>
      <c r="DE32" s="63"/>
      <c r="DF32" s="63"/>
      <c r="DG32" s="63"/>
      <c r="DH32" s="63"/>
      <c r="DI32" s="63"/>
      <c r="DJ32" s="63"/>
      <c r="DK32" s="63"/>
      <c r="DL32" s="63"/>
      <c r="DM32" s="63"/>
      <c r="DN32" s="63"/>
      <c r="DO32" s="63"/>
      <c r="DP32" s="63"/>
      <c r="DQ32" s="63"/>
      <c r="DR32" s="63"/>
      <c r="DS32" s="63"/>
      <c r="DT32" s="63"/>
      <c r="DU32" s="63"/>
      <c r="DV32" s="63"/>
      <c r="DW32" s="63"/>
      <c r="DX32" s="63"/>
      <c r="DY32" s="63"/>
      <c r="DZ32" s="63"/>
      <c r="EA32" s="63"/>
      <c r="EB32" s="63"/>
      <c r="EC32" s="63"/>
      <c r="ED32" s="63"/>
      <c r="EE32" s="63"/>
      <c r="EF32" s="63"/>
      <c r="EG32" s="63"/>
      <c r="EH32" s="63"/>
      <c r="EI32" s="63"/>
      <c r="EJ32" s="63"/>
      <c r="EK32" s="63"/>
      <c r="EL32" s="63"/>
      <c r="EM32" s="63"/>
      <c r="EN32" s="63"/>
      <c r="EO32" s="63"/>
      <c r="EP32" s="63"/>
      <c r="EQ32" s="63"/>
      <c r="ER32" s="63"/>
      <c r="ES32" s="63"/>
      <c r="ET32" s="63"/>
      <c r="EU32" s="63"/>
      <c r="EV32" s="63"/>
      <c r="EW32" s="63"/>
      <c r="EX32" s="63"/>
      <c r="EY32" s="63"/>
      <c r="EZ32" s="63"/>
      <c r="FA32" s="63"/>
      <c r="FB32" s="63"/>
      <c r="FC32" s="63"/>
      <c r="FD32" s="63"/>
      <c r="FE32" s="63"/>
      <c r="FF32" s="63"/>
      <c r="FG32" s="63"/>
      <c r="FH32" s="63"/>
      <c r="FI32" s="63"/>
      <c r="FJ32" s="63"/>
      <c r="FK32" s="63"/>
      <c r="FL32" s="63"/>
      <c r="FM32" s="63"/>
      <c r="FN32" s="63"/>
      <c r="FO32" s="63"/>
      <c r="FP32" s="63"/>
      <c r="FQ32" s="63"/>
      <c r="FR32" s="63"/>
      <c r="FS32" s="63"/>
      <c r="FT32" s="63"/>
      <c r="FU32" s="63"/>
      <c r="FV32" s="63"/>
      <c r="FW32" s="63"/>
      <c r="FX32" s="63"/>
      <c r="FY32" s="63"/>
      <c r="FZ32" s="63"/>
      <c r="GA32" s="63"/>
      <c r="GB32" s="63"/>
      <c r="GC32" s="63"/>
      <c r="GD32" s="63"/>
      <c r="GE32" s="63"/>
      <c r="GF32" s="63"/>
      <c r="GG32" s="63"/>
      <c r="GH32" s="63"/>
      <c r="GI32" s="63"/>
      <c r="GJ32" s="63"/>
      <c r="GK32" s="63"/>
      <c r="GL32" s="63"/>
      <c r="GM32" s="63"/>
      <c r="GN32" s="63"/>
      <c r="GO32" s="63"/>
      <c r="GP32" s="63"/>
      <c r="GQ32" s="63"/>
      <c r="GR32" s="63"/>
      <c r="GS32" s="63"/>
      <c r="GT32" s="63"/>
      <c r="GU32" s="63"/>
      <c r="GV32" s="63"/>
      <c r="GW32" s="63"/>
      <c r="GX32" s="63"/>
      <c r="GY32" s="63"/>
      <c r="GZ32" s="63"/>
      <c r="HA32" s="63"/>
      <c r="HB32" s="63"/>
      <c r="HC32" s="63"/>
      <c r="HD32" s="63"/>
      <c r="HE32" s="63"/>
      <c r="HF32" s="63"/>
      <c r="HG32" s="63"/>
      <c r="HH32" s="63"/>
      <c r="HI32" s="63"/>
      <c r="HJ32" s="63"/>
      <c r="HK32" s="63"/>
      <c r="HL32" s="63"/>
      <c r="HM32" s="63"/>
      <c r="HN32" s="63"/>
      <c r="HO32" s="63"/>
      <c r="HP32" s="63"/>
      <c r="HQ32" s="63"/>
      <c r="HR32" s="63"/>
      <c r="HS32" s="63"/>
      <c r="HT32" s="63"/>
      <c r="HU32" s="63"/>
      <c r="HV32" s="63"/>
      <c r="HW32" s="63"/>
      <c r="HX32" s="63"/>
      <c r="HY32" s="63"/>
      <c r="HZ32" s="63"/>
      <c r="IA32" s="63"/>
      <c r="IB32" s="63"/>
      <c r="IC32" s="63"/>
      <c r="ID32" s="63"/>
      <c r="IE32" s="63"/>
      <c r="IF32" s="63"/>
      <c r="IG32" s="63"/>
      <c r="IH32" s="63"/>
      <c r="II32" s="63"/>
      <c r="IJ32" s="63"/>
      <c r="IK32" s="63"/>
      <c r="IL32" s="63"/>
      <c r="IM32" s="63"/>
      <c r="IN32" s="63"/>
      <c r="IO32" s="63"/>
      <c r="IP32" s="63"/>
      <c r="IQ32" s="63"/>
      <c r="IR32" s="63"/>
      <c r="IS32" s="63"/>
      <c r="IT32" s="63"/>
      <c r="IU32" s="63"/>
      <c r="IV32" s="63"/>
      <c r="IW32" s="63"/>
    </row>
    <row r="33" spans="1:257">
      <c r="A33" s="58">
        <v>401</v>
      </c>
      <c r="B33" s="59">
        <v>44435</v>
      </c>
      <c r="C33" s="57" t="s">
        <v>48</v>
      </c>
      <c r="D33" s="60">
        <v>44434</v>
      </c>
      <c r="E33" s="52" t="s">
        <v>45</v>
      </c>
      <c r="F33" s="61">
        <v>378.38</v>
      </c>
      <c r="G33" s="38">
        <v>45164</v>
      </c>
      <c r="H33" s="62">
        <v>45896</v>
      </c>
      <c r="I33" s="53">
        <v>20000</v>
      </c>
      <c r="J33" s="61">
        <v>100822</v>
      </c>
      <c r="K33" s="13">
        <v>135737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3"/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3"/>
      <c r="GR33" s="63"/>
      <c r="GS33" s="63"/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3"/>
      <c r="IO33" s="63"/>
      <c r="IP33" s="63"/>
      <c r="IQ33" s="63"/>
      <c r="IR33" s="63"/>
      <c r="IS33" s="63"/>
      <c r="IT33" s="63"/>
      <c r="IU33" s="63"/>
      <c r="IV33" s="63"/>
      <c r="IW33" s="63"/>
    </row>
    <row r="34" spans="1:257">
      <c r="A34" s="55">
        <v>405</v>
      </c>
      <c r="B34" s="56">
        <v>44435</v>
      </c>
      <c r="C34" s="57" t="s">
        <v>49</v>
      </c>
      <c r="D34" s="40">
        <v>44434</v>
      </c>
      <c r="E34" s="52" t="s">
        <v>45</v>
      </c>
      <c r="F34" s="21">
        <v>378.38</v>
      </c>
      <c r="G34" s="38">
        <v>45164</v>
      </c>
      <c r="H34" s="18">
        <v>45896</v>
      </c>
      <c r="I34" s="53">
        <v>20000</v>
      </c>
      <c r="J34" s="16">
        <v>36105</v>
      </c>
      <c r="K34" s="13">
        <v>86611</v>
      </c>
    </row>
    <row r="35" spans="1:257">
      <c r="A35" s="55">
        <v>403</v>
      </c>
      <c r="B35" s="56">
        <v>44435</v>
      </c>
      <c r="C35" s="57" t="s">
        <v>50</v>
      </c>
      <c r="D35" s="40">
        <v>44434</v>
      </c>
      <c r="E35" s="52" t="s">
        <v>45</v>
      </c>
      <c r="F35" s="21">
        <v>378.38</v>
      </c>
      <c r="G35" s="38">
        <v>45164</v>
      </c>
      <c r="H35" s="18">
        <v>45896</v>
      </c>
      <c r="I35" s="53">
        <v>20000</v>
      </c>
      <c r="J35" s="28">
        <v>42457</v>
      </c>
      <c r="K35" s="13">
        <v>81845</v>
      </c>
    </row>
    <row r="36" spans="1:257">
      <c r="A36" s="17">
        <v>369</v>
      </c>
      <c r="B36" s="18">
        <v>44407</v>
      </c>
      <c r="C36" s="64" t="s">
        <v>51</v>
      </c>
      <c r="D36" s="65">
        <v>44377</v>
      </c>
      <c r="E36" s="21" t="s">
        <v>52</v>
      </c>
      <c r="F36" s="21">
        <v>231.05</v>
      </c>
      <c r="G36" s="38">
        <v>45107</v>
      </c>
      <c r="H36" s="18">
        <v>45868</v>
      </c>
      <c r="I36" s="66">
        <v>15000</v>
      </c>
      <c r="J36" s="16">
        <v>33194</v>
      </c>
      <c r="K36" s="13">
        <v>70175</v>
      </c>
    </row>
    <row r="37" spans="1:257">
      <c r="A37" s="17">
        <v>368</v>
      </c>
      <c r="B37" s="18">
        <v>44392</v>
      </c>
      <c r="C37" s="64" t="s">
        <v>53</v>
      </c>
      <c r="D37" s="65">
        <v>44377</v>
      </c>
      <c r="E37" s="21" t="s">
        <v>52</v>
      </c>
      <c r="F37" s="21">
        <v>231.05</v>
      </c>
      <c r="G37" s="38">
        <v>45107</v>
      </c>
      <c r="H37" s="18">
        <v>45853</v>
      </c>
      <c r="I37" s="66">
        <v>15000</v>
      </c>
      <c r="J37" s="16">
        <v>32267</v>
      </c>
      <c r="K37" s="13">
        <v>64063</v>
      </c>
    </row>
    <row r="38" spans="1:257">
      <c r="A38" s="17">
        <v>367</v>
      </c>
      <c r="B38" s="18">
        <v>44392</v>
      </c>
      <c r="C38" s="67" t="s">
        <v>54</v>
      </c>
      <c r="D38" s="65">
        <v>44377</v>
      </c>
      <c r="E38" s="21" t="s">
        <v>52</v>
      </c>
      <c r="F38" s="21">
        <v>231.05</v>
      </c>
      <c r="G38" s="38">
        <v>45107</v>
      </c>
      <c r="H38" s="18">
        <v>45853</v>
      </c>
      <c r="I38" s="66">
        <v>15000</v>
      </c>
      <c r="J38" s="16">
        <v>13142</v>
      </c>
      <c r="K38" s="13">
        <v>53274</v>
      </c>
    </row>
    <row r="39" spans="1:257">
      <c r="A39" s="17">
        <v>377</v>
      </c>
      <c r="B39" s="18">
        <v>44407</v>
      </c>
      <c r="C39" s="64" t="s">
        <v>55</v>
      </c>
      <c r="D39" s="40">
        <v>44396</v>
      </c>
      <c r="E39" s="21" t="s">
        <v>52</v>
      </c>
      <c r="F39" s="21">
        <v>231.05</v>
      </c>
      <c r="G39" s="38">
        <v>45126</v>
      </c>
      <c r="H39" s="18">
        <v>45868</v>
      </c>
      <c r="I39" s="66">
        <v>15000</v>
      </c>
      <c r="J39" s="16">
        <v>62053</v>
      </c>
      <c r="K39" s="13">
        <v>101489</v>
      </c>
    </row>
    <row r="40" spans="1:257">
      <c r="A40" s="17">
        <v>372</v>
      </c>
      <c r="B40" s="18">
        <v>44407</v>
      </c>
      <c r="C40" s="64" t="s">
        <v>56</v>
      </c>
      <c r="D40" s="40">
        <v>44396</v>
      </c>
      <c r="E40" s="21" t="s">
        <v>52</v>
      </c>
      <c r="F40" s="21">
        <v>231.05</v>
      </c>
      <c r="G40" s="38">
        <v>45126</v>
      </c>
      <c r="H40" s="18">
        <v>45868</v>
      </c>
      <c r="I40" s="66">
        <v>15000</v>
      </c>
      <c r="J40" s="16">
        <v>40159</v>
      </c>
      <c r="K40" s="13">
        <v>74385</v>
      </c>
    </row>
    <row r="41" spans="1:257">
      <c r="A41" s="17">
        <v>374</v>
      </c>
      <c r="B41" s="18">
        <v>44407</v>
      </c>
      <c r="C41" s="64" t="s">
        <v>57</v>
      </c>
      <c r="D41" s="40">
        <v>44396</v>
      </c>
      <c r="E41" s="21" t="s">
        <v>52</v>
      </c>
      <c r="F41" s="21">
        <v>231.05</v>
      </c>
      <c r="G41" s="38">
        <v>45126</v>
      </c>
      <c r="H41" s="18">
        <v>45868</v>
      </c>
      <c r="I41" s="66">
        <v>15000</v>
      </c>
      <c r="J41" s="16">
        <v>29290</v>
      </c>
      <c r="K41" s="13">
        <v>73424</v>
      </c>
    </row>
    <row r="42" spans="1:257">
      <c r="A42" s="17">
        <v>371</v>
      </c>
      <c r="B42" s="18">
        <v>44407</v>
      </c>
      <c r="C42" s="64" t="s">
        <v>58</v>
      </c>
      <c r="D42" s="40">
        <v>44396</v>
      </c>
      <c r="E42" s="21" t="s">
        <v>52</v>
      </c>
      <c r="F42" s="21">
        <v>231.05</v>
      </c>
      <c r="G42" s="38">
        <v>45126</v>
      </c>
      <c r="H42" s="18">
        <v>45868</v>
      </c>
      <c r="I42" s="66">
        <v>15000</v>
      </c>
      <c r="J42" s="16">
        <v>46368</v>
      </c>
      <c r="K42" s="13">
        <v>58738</v>
      </c>
    </row>
    <row r="43" spans="1:257">
      <c r="A43" s="17">
        <v>370</v>
      </c>
      <c r="B43" s="18">
        <v>44407</v>
      </c>
      <c r="C43" s="64" t="s">
        <v>59</v>
      </c>
      <c r="D43" s="40">
        <v>44396</v>
      </c>
      <c r="E43" s="21" t="s">
        <v>52</v>
      </c>
      <c r="F43" s="21">
        <v>231.05</v>
      </c>
      <c r="G43" s="38">
        <v>45126</v>
      </c>
      <c r="H43" s="18">
        <v>45868</v>
      </c>
      <c r="I43" s="66">
        <v>15000</v>
      </c>
      <c r="J43" s="16">
        <v>6954</v>
      </c>
      <c r="K43" s="13">
        <v>57504</v>
      </c>
    </row>
    <row r="44" spans="1:257">
      <c r="A44" s="17">
        <v>373</v>
      </c>
      <c r="B44" s="18">
        <v>44407</v>
      </c>
      <c r="C44" s="64" t="s">
        <v>60</v>
      </c>
      <c r="D44" s="40">
        <v>44396</v>
      </c>
      <c r="E44" s="21" t="s">
        <v>52</v>
      </c>
      <c r="F44" s="21">
        <v>231.05</v>
      </c>
      <c r="G44" s="38">
        <v>45126</v>
      </c>
      <c r="H44" s="18">
        <v>45868</v>
      </c>
      <c r="I44" s="66">
        <v>15000</v>
      </c>
      <c r="J44" s="16">
        <v>67485</v>
      </c>
      <c r="K44" s="13">
        <v>129976</v>
      </c>
    </row>
    <row r="45" spans="1:257">
      <c r="A45" s="17">
        <v>378</v>
      </c>
      <c r="B45" s="18">
        <v>44407</v>
      </c>
      <c r="C45" s="64" t="s">
        <v>61</v>
      </c>
      <c r="D45" s="40">
        <v>44396</v>
      </c>
      <c r="E45" s="21" t="s">
        <v>52</v>
      </c>
      <c r="F45" s="21">
        <v>231.05</v>
      </c>
      <c r="G45" s="38">
        <v>45126</v>
      </c>
      <c r="H45" s="18">
        <v>45868</v>
      </c>
      <c r="I45" s="66">
        <v>15000</v>
      </c>
      <c r="J45" s="16"/>
      <c r="K45" s="13">
        <v>28332</v>
      </c>
    </row>
    <row r="46" spans="1:257">
      <c r="A46" s="17">
        <v>376</v>
      </c>
      <c r="B46" s="18">
        <v>44407</v>
      </c>
      <c r="C46" s="64" t="s">
        <v>62</v>
      </c>
      <c r="D46" s="40">
        <v>44396</v>
      </c>
      <c r="E46" s="21" t="s">
        <v>52</v>
      </c>
      <c r="F46" s="21">
        <v>231.05</v>
      </c>
      <c r="G46" s="38">
        <v>45126</v>
      </c>
      <c r="H46" s="18">
        <v>45868</v>
      </c>
      <c r="I46" s="66">
        <v>15000</v>
      </c>
      <c r="J46" s="16">
        <v>36842</v>
      </c>
      <c r="K46" s="13">
        <v>60819</v>
      </c>
    </row>
    <row r="47" spans="1:257">
      <c r="A47" s="17">
        <v>375</v>
      </c>
      <c r="B47" s="18">
        <v>44407</v>
      </c>
      <c r="C47" s="64" t="s">
        <v>63</v>
      </c>
      <c r="D47" s="40">
        <v>44396</v>
      </c>
      <c r="E47" s="21" t="s">
        <v>52</v>
      </c>
      <c r="F47" s="21">
        <v>231.05</v>
      </c>
      <c r="G47" s="38">
        <v>45126</v>
      </c>
      <c r="H47" s="18">
        <v>45868</v>
      </c>
      <c r="I47" s="66">
        <v>15000</v>
      </c>
      <c r="J47" s="16">
        <v>40766</v>
      </c>
      <c r="K47" s="13">
        <v>67299</v>
      </c>
    </row>
    <row r="48" spans="1:257">
      <c r="A48" s="17">
        <v>379</v>
      </c>
      <c r="B48" s="18">
        <v>44392</v>
      </c>
      <c r="C48" s="51" t="s">
        <v>64</v>
      </c>
      <c r="D48" s="40">
        <v>44391</v>
      </c>
      <c r="E48" s="21" t="s">
        <v>65</v>
      </c>
      <c r="F48" s="21">
        <v>257.45</v>
      </c>
      <c r="G48" s="38">
        <v>45121</v>
      </c>
      <c r="H48" s="18">
        <v>45853</v>
      </c>
      <c r="I48" s="66">
        <v>20000</v>
      </c>
      <c r="J48" s="16">
        <v>20231</v>
      </c>
      <c r="K48" s="13">
        <v>89838</v>
      </c>
    </row>
    <row r="49" spans="1:11">
      <c r="A49" s="17">
        <v>384</v>
      </c>
      <c r="B49" s="18">
        <v>44392</v>
      </c>
      <c r="C49" s="51" t="s">
        <v>66</v>
      </c>
      <c r="D49" s="40">
        <v>44391</v>
      </c>
      <c r="E49" s="21" t="s">
        <v>65</v>
      </c>
      <c r="F49" s="21">
        <v>257.45</v>
      </c>
      <c r="G49" s="38">
        <v>45121</v>
      </c>
      <c r="H49" s="18">
        <v>45853</v>
      </c>
      <c r="I49" s="66">
        <v>20000</v>
      </c>
      <c r="J49" s="16">
        <v>40445</v>
      </c>
      <c r="K49" s="13">
        <v>113366</v>
      </c>
    </row>
    <row r="50" spans="1:11">
      <c r="A50" s="17">
        <v>381</v>
      </c>
      <c r="B50" s="18">
        <v>44392</v>
      </c>
      <c r="C50" s="51" t="s">
        <v>67</v>
      </c>
      <c r="D50" s="40">
        <v>44392</v>
      </c>
      <c r="E50" s="21" t="s">
        <v>65</v>
      </c>
      <c r="F50" s="21">
        <v>257.45</v>
      </c>
      <c r="G50" s="38">
        <v>45122</v>
      </c>
      <c r="H50" s="18">
        <v>45853</v>
      </c>
      <c r="I50" s="66">
        <v>20000</v>
      </c>
      <c r="J50" s="16">
        <v>46619</v>
      </c>
      <c r="K50" s="13">
        <v>102999</v>
      </c>
    </row>
    <row r="51" spans="1:11">
      <c r="A51" s="17">
        <v>386</v>
      </c>
      <c r="B51" s="18">
        <v>44392</v>
      </c>
      <c r="C51" s="51" t="s">
        <v>68</v>
      </c>
      <c r="D51" s="40">
        <v>44391</v>
      </c>
      <c r="E51" s="21" t="s">
        <v>65</v>
      </c>
      <c r="F51" s="21">
        <v>257.45</v>
      </c>
      <c r="G51" s="38">
        <v>45121</v>
      </c>
      <c r="H51" s="18">
        <v>45853</v>
      </c>
      <c r="I51" s="68">
        <v>20000</v>
      </c>
      <c r="J51" s="28">
        <v>44915</v>
      </c>
      <c r="K51" s="13">
        <v>79911</v>
      </c>
    </row>
    <row r="52" spans="1:11">
      <c r="A52" s="17">
        <v>387</v>
      </c>
      <c r="B52" s="18">
        <v>44392</v>
      </c>
      <c r="C52" s="51" t="s">
        <v>69</v>
      </c>
      <c r="D52" s="40">
        <v>44391</v>
      </c>
      <c r="E52" s="21" t="s">
        <v>65</v>
      </c>
      <c r="F52" s="21">
        <v>257.45</v>
      </c>
      <c r="G52" s="38">
        <v>45121</v>
      </c>
      <c r="H52" s="18">
        <v>45853</v>
      </c>
      <c r="I52" s="66">
        <v>20000</v>
      </c>
      <c r="J52" s="16">
        <v>18287</v>
      </c>
      <c r="K52" s="13">
        <v>42732</v>
      </c>
    </row>
    <row r="53" spans="1:11">
      <c r="A53" s="17">
        <v>382</v>
      </c>
      <c r="B53" s="18">
        <v>44392</v>
      </c>
      <c r="C53" s="51" t="s">
        <v>70</v>
      </c>
      <c r="D53" s="40">
        <v>44391</v>
      </c>
      <c r="E53" s="21" t="s">
        <v>65</v>
      </c>
      <c r="F53" s="21">
        <v>257.45</v>
      </c>
      <c r="G53" s="38">
        <v>45121</v>
      </c>
      <c r="H53" s="18">
        <v>45853</v>
      </c>
      <c r="I53" s="66">
        <v>20000</v>
      </c>
      <c r="J53" s="16">
        <v>61782</v>
      </c>
      <c r="K53" s="13">
        <v>117206</v>
      </c>
    </row>
    <row r="54" spans="1:11">
      <c r="A54" s="17">
        <v>380</v>
      </c>
      <c r="B54" s="18">
        <v>44392</v>
      </c>
      <c r="C54" s="51" t="s">
        <v>71</v>
      </c>
      <c r="D54" s="40">
        <v>44391</v>
      </c>
      <c r="E54" s="21" t="s">
        <v>65</v>
      </c>
      <c r="F54" s="21">
        <v>257.45</v>
      </c>
      <c r="G54" s="38">
        <v>45121</v>
      </c>
      <c r="H54" s="18">
        <v>45853</v>
      </c>
      <c r="I54" s="68">
        <v>20000</v>
      </c>
      <c r="J54" s="28">
        <v>87235</v>
      </c>
      <c r="K54" s="13">
        <v>163492</v>
      </c>
    </row>
    <row r="55" spans="1:11">
      <c r="A55" s="17">
        <v>385</v>
      </c>
      <c r="B55" s="18">
        <v>44392</v>
      </c>
      <c r="C55" s="51" t="s">
        <v>72</v>
      </c>
      <c r="D55" s="40">
        <v>44391</v>
      </c>
      <c r="E55" s="21" t="s">
        <v>65</v>
      </c>
      <c r="F55" s="21">
        <v>257.45</v>
      </c>
      <c r="G55" s="38">
        <v>45121</v>
      </c>
      <c r="H55" s="18">
        <v>45853</v>
      </c>
      <c r="I55" s="66">
        <v>20000</v>
      </c>
      <c r="J55" s="16">
        <v>20216</v>
      </c>
      <c r="K55" s="13">
        <v>74700</v>
      </c>
    </row>
    <row r="56" spans="1:11">
      <c r="A56" s="17">
        <v>383</v>
      </c>
      <c r="B56" s="18">
        <v>44392</v>
      </c>
      <c r="C56" s="51" t="s">
        <v>73</v>
      </c>
      <c r="D56" s="40">
        <v>44391</v>
      </c>
      <c r="E56" s="21" t="s">
        <v>65</v>
      </c>
      <c r="F56" s="21">
        <v>257.45</v>
      </c>
      <c r="G56" s="38">
        <v>45121</v>
      </c>
      <c r="H56" s="18">
        <v>45853</v>
      </c>
      <c r="I56" s="66">
        <v>20000</v>
      </c>
      <c r="J56" s="16">
        <v>38002</v>
      </c>
      <c r="K56" s="13">
        <v>80466</v>
      </c>
    </row>
    <row r="57" spans="1:11">
      <c r="A57" s="17">
        <v>526</v>
      </c>
      <c r="B57" s="38">
        <v>44509</v>
      </c>
      <c r="C57" s="51" t="s">
        <v>74</v>
      </c>
      <c r="D57" s="40">
        <v>44496</v>
      </c>
      <c r="E57" s="52" t="s">
        <v>75</v>
      </c>
      <c r="F57" s="21">
        <v>342.66</v>
      </c>
      <c r="G57" s="38">
        <v>45226</v>
      </c>
      <c r="H57" s="21"/>
      <c r="I57" s="69">
        <v>20000</v>
      </c>
      <c r="J57" s="16">
        <v>20160</v>
      </c>
      <c r="K57" s="13">
        <v>85090</v>
      </c>
    </row>
    <row r="58" spans="1:11">
      <c r="A58" s="17">
        <v>527</v>
      </c>
      <c r="B58" s="38">
        <v>44509</v>
      </c>
      <c r="C58" s="64" t="s">
        <v>76</v>
      </c>
      <c r="D58" s="40">
        <v>44496</v>
      </c>
      <c r="E58" s="52" t="s">
        <v>75</v>
      </c>
      <c r="F58" s="21">
        <v>342.66</v>
      </c>
      <c r="G58" s="38">
        <v>45226</v>
      </c>
      <c r="H58" s="21"/>
      <c r="I58" s="69">
        <v>20000</v>
      </c>
      <c r="J58" s="16">
        <v>20282</v>
      </c>
      <c r="K58" s="13">
        <v>293635</v>
      </c>
    </row>
    <row r="59" spans="1:11">
      <c r="A59" s="17">
        <v>532</v>
      </c>
      <c r="B59" s="38">
        <v>44522</v>
      </c>
      <c r="C59" s="67" t="s">
        <v>77</v>
      </c>
      <c r="D59" s="40">
        <v>44511</v>
      </c>
      <c r="E59" s="52" t="s">
        <v>75</v>
      </c>
      <c r="F59" s="21">
        <v>342.66</v>
      </c>
      <c r="G59" s="38">
        <v>45241</v>
      </c>
      <c r="H59" s="21"/>
      <c r="I59" s="69">
        <v>20000</v>
      </c>
      <c r="J59" s="16">
        <v>4157</v>
      </c>
      <c r="K59" s="13">
        <v>41516</v>
      </c>
    </row>
    <row r="60" spans="1:11">
      <c r="A60" s="17">
        <v>533</v>
      </c>
      <c r="B60" s="38">
        <v>44522</v>
      </c>
      <c r="C60" s="67" t="s">
        <v>78</v>
      </c>
      <c r="D60" s="40">
        <v>44511</v>
      </c>
      <c r="E60" s="52" t="s">
        <v>75</v>
      </c>
      <c r="F60" s="21">
        <v>342.66</v>
      </c>
      <c r="G60" s="38">
        <v>45241</v>
      </c>
      <c r="H60" s="21"/>
      <c r="I60" s="69">
        <v>20000</v>
      </c>
      <c r="J60" s="16">
        <v>31250</v>
      </c>
      <c r="K60" s="13">
        <v>72533</v>
      </c>
    </row>
    <row r="61" spans="1:11">
      <c r="A61" s="17">
        <v>534</v>
      </c>
      <c r="B61" s="38">
        <v>44522</v>
      </c>
      <c r="C61" s="67" t="s">
        <v>79</v>
      </c>
      <c r="D61" s="40">
        <v>44511</v>
      </c>
      <c r="E61" s="52" t="s">
        <v>75</v>
      </c>
      <c r="F61" s="21">
        <v>342.66</v>
      </c>
      <c r="G61" s="38">
        <v>45241</v>
      </c>
      <c r="H61" s="21"/>
      <c r="I61" s="69">
        <v>20000</v>
      </c>
      <c r="J61" s="16">
        <v>34363</v>
      </c>
      <c r="K61" s="13">
        <v>46466</v>
      </c>
    </row>
    <row r="62" spans="1:11">
      <c r="A62" s="17">
        <v>529</v>
      </c>
      <c r="B62" s="38">
        <v>44522</v>
      </c>
      <c r="C62" s="67" t="s">
        <v>80</v>
      </c>
      <c r="D62" s="40">
        <v>44511</v>
      </c>
      <c r="E62" s="52" t="s">
        <v>75</v>
      </c>
      <c r="F62" s="21">
        <v>342.66</v>
      </c>
      <c r="G62" s="38">
        <v>45241</v>
      </c>
      <c r="H62" s="21"/>
      <c r="I62" s="69">
        <v>20000</v>
      </c>
      <c r="J62" s="16">
        <v>36132</v>
      </c>
      <c r="K62" s="13">
        <v>76858</v>
      </c>
    </row>
    <row r="63" spans="1:11">
      <c r="A63" s="17">
        <v>530</v>
      </c>
      <c r="B63" s="38">
        <v>44522</v>
      </c>
      <c r="C63" s="70" t="s">
        <v>81</v>
      </c>
      <c r="D63" s="40">
        <v>44511</v>
      </c>
      <c r="E63" s="52" t="s">
        <v>75</v>
      </c>
      <c r="F63" s="21">
        <v>342.66</v>
      </c>
      <c r="G63" s="38">
        <v>45241</v>
      </c>
      <c r="H63" s="21"/>
      <c r="I63" s="69">
        <v>20000</v>
      </c>
      <c r="J63" s="16">
        <v>13779</v>
      </c>
      <c r="K63" s="13">
        <v>63127</v>
      </c>
    </row>
    <row r="64" spans="1:11">
      <c r="A64" s="17">
        <v>531</v>
      </c>
      <c r="B64" s="38">
        <v>44522</v>
      </c>
      <c r="C64" s="67" t="s">
        <v>82</v>
      </c>
      <c r="D64" s="40">
        <v>44511</v>
      </c>
      <c r="E64" s="52" t="s">
        <v>75</v>
      </c>
      <c r="F64" s="21">
        <v>342.66</v>
      </c>
      <c r="G64" s="38">
        <v>45241</v>
      </c>
      <c r="H64" s="21"/>
      <c r="I64" s="69">
        <v>20000</v>
      </c>
      <c r="J64" s="16">
        <v>42383</v>
      </c>
      <c r="K64" s="13">
        <v>108480</v>
      </c>
    </row>
    <row r="65" spans="1:257">
      <c r="A65" s="17">
        <v>327</v>
      </c>
      <c r="B65" s="18">
        <v>44392</v>
      </c>
      <c r="C65" s="71" t="s">
        <v>83</v>
      </c>
      <c r="D65" s="40">
        <v>44363</v>
      </c>
      <c r="E65" s="34" t="s">
        <v>84</v>
      </c>
      <c r="F65" s="21">
        <v>756.51</v>
      </c>
      <c r="G65" s="38">
        <v>45093</v>
      </c>
      <c r="H65" s="18">
        <v>45853</v>
      </c>
      <c r="I65" s="69">
        <v>20000</v>
      </c>
      <c r="J65" s="16">
        <v>60222</v>
      </c>
      <c r="K65" s="13">
        <v>97156</v>
      </c>
    </row>
    <row r="66" spans="1:257">
      <c r="A66" s="17">
        <v>330</v>
      </c>
      <c r="B66" s="18">
        <v>44392</v>
      </c>
      <c r="C66" s="71" t="s">
        <v>85</v>
      </c>
      <c r="D66" s="40">
        <v>44363</v>
      </c>
      <c r="E66" s="34" t="s">
        <v>86</v>
      </c>
      <c r="F66" s="21">
        <v>756.51</v>
      </c>
      <c r="G66" s="38">
        <v>45093</v>
      </c>
      <c r="H66" s="18">
        <v>45853</v>
      </c>
      <c r="I66" s="69">
        <v>20000</v>
      </c>
      <c r="J66" s="16">
        <v>10061</v>
      </c>
      <c r="K66" s="13">
        <v>23260</v>
      </c>
    </row>
    <row r="67" spans="1:257">
      <c r="A67" s="17">
        <v>329</v>
      </c>
      <c r="B67" s="18">
        <v>44392</v>
      </c>
      <c r="C67" s="71" t="s">
        <v>87</v>
      </c>
      <c r="D67" s="40">
        <v>44363</v>
      </c>
      <c r="E67" s="34" t="s">
        <v>86</v>
      </c>
      <c r="F67" s="21">
        <v>756.51</v>
      </c>
      <c r="G67" s="38">
        <v>45093</v>
      </c>
      <c r="H67" s="18">
        <v>45853</v>
      </c>
      <c r="I67" s="72">
        <v>20000</v>
      </c>
      <c r="J67" s="28">
        <v>19824</v>
      </c>
      <c r="K67" s="13">
        <v>55323</v>
      </c>
    </row>
    <row r="68" spans="1:257">
      <c r="A68" s="17">
        <v>340</v>
      </c>
      <c r="B68" s="18">
        <v>44392</v>
      </c>
      <c r="C68" s="73" t="s">
        <v>88</v>
      </c>
      <c r="D68" s="40">
        <v>44363</v>
      </c>
      <c r="E68" s="34" t="s">
        <v>89</v>
      </c>
      <c r="F68" s="21">
        <v>754.68</v>
      </c>
      <c r="G68" s="38">
        <v>45093</v>
      </c>
      <c r="H68" s="18">
        <v>45853</v>
      </c>
      <c r="I68" s="69">
        <v>20000</v>
      </c>
      <c r="J68" s="16">
        <v>116683</v>
      </c>
      <c r="K68" s="13">
        <v>144395</v>
      </c>
    </row>
    <row r="69" spans="1:257">
      <c r="A69" s="17">
        <v>341</v>
      </c>
      <c r="B69" s="18">
        <v>44392</v>
      </c>
      <c r="C69" s="71" t="s">
        <v>90</v>
      </c>
      <c r="D69" s="40">
        <v>44363</v>
      </c>
      <c r="E69" s="34" t="s">
        <v>89</v>
      </c>
      <c r="F69" s="21">
        <v>754.68</v>
      </c>
      <c r="G69" s="38">
        <v>45093</v>
      </c>
      <c r="H69" s="18">
        <v>45853</v>
      </c>
      <c r="I69" s="69">
        <v>20000</v>
      </c>
      <c r="J69" s="16">
        <v>60077</v>
      </c>
      <c r="K69" s="13">
        <v>90098</v>
      </c>
    </row>
    <row r="70" spans="1:257">
      <c r="A70" s="17">
        <v>357</v>
      </c>
      <c r="B70" s="18">
        <v>44392</v>
      </c>
      <c r="C70" s="71" t="s">
        <v>91</v>
      </c>
      <c r="D70" s="40">
        <v>44363</v>
      </c>
      <c r="E70" s="34" t="s">
        <v>89</v>
      </c>
      <c r="F70" s="21">
        <v>754.68</v>
      </c>
      <c r="G70" s="38">
        <v>45093</v>
      </c>
      <c r="H70" s="18">
        <v>45853</v>
      </c>
      <c r="I70" s="69">
        <v>20000</v>
      </c>
      <c r="J70" s="16">
        <v>40291</v>
      </c>
      <c r="K70" s="13">
        <v>91980</v>
      </c>
    </row>
    <row r="71" spans="1:257">
      <c r="A71" s="74">
        <v>349</v>
      </c>
      <c r="B71" s="62">
        <v>44392</v>
      </c>
      <c r="C71" s="71" t="s">
        <v>92</v>
      </c>
      <c r="D71" s="60">
        <v>44363</v>
      </c>
      <c r="E71" s="34" t="s">
        <v>89</v>
      </c>
      <c r="F71" s="61">
        <v>754.68</v>
      </c>
      <c r="G71" s="38">
        <v>45093</v>
      </c>
      <c r="H71" s="62">
        <v>45853</v>
      </c>
      <c r="I71" s="75">
        <v>20000</v>
      </c>
      <c r="J71" s="76">
        <v>72174</v>
      </c>
      <c r="K71" s="13">
        <v>137005</v>
      </c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3"/>
      <c r="BV71" s="63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3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63"/>
      <c r="DR71" s="63"/>
      <c r="DS71" s="63"/>
      <c r="DT71" s="63"/>
      <c r="DU71" s="63"/>
      <c r="DV71" s="63"/>
      <c r="DW71" s="63"/>
      <c r="DX71" s="63"/>
      <c r="DY71" s="63"/>
      <c r="DZ71" s="63"/>
      <c r="EA71" s="63"/>
      <c r="EB71" s="63"/>
      <c r="EC71" s="63"/>
      <c r="ED71" s="63"/>
      <c r="EE71" s="63"/>
      <c r="EF71" s="63"/>
      <c r="EG71" s="63"/>
      <c r="EH71" s="63"/>
      <c r="EI71" s="63"/>
      <c r="EJ71" s="63"/>
      <c r="EK71" s="63"/>
      <c r="EL71" s="63"/>
      <c r="EM71" s="63"/>
      <c r="EN71" s="63"/>
      <c r="EO71" s="63"/>
      <c r="EP71" s="63"/>
      <c r="EQ71" s="63"/>
      <c r="ER71" s="63"/>
      <c r="ES71" s="63"/>
      <c r="ET71" s="63"/>
      <c r="EU71" s="63"/>
      <c r="EV71" s="63"/>
      <c r="EW71" s="63"/>
      <c r="EX71" s="63"/>
      <c r="EY71" s="63"/>
      <c r="EZ71" s="63"/>
      <c r="FA71" s="63"/>
      <c r="FB71" s="63"/>
      <c r="FC71" s="63"/>
      <c r="FD71" s="63"/>
      <c r="FE71" s="63"/>
      <c r="FF71" s="63"/>
      <c r="FG71" s="63"/>
      <c r="FH71" s="63"/>
      <c r="FI71" s="63"/>
      <c r="FJ71" s="63"/>
      <c r="FK71" s="63"/>
      <c r="FL71" s="63"/>
      <c r="FM71" s="63"/>
      <c r="FN71" s="63"/>
      <c r="FO71" s="63"/>
      <c r="FP71" s="63"/>
      <c r="FQ71" s="63"/>
      <c r="FR71" s="63"/>
      <c r="FS71" s="63"/>
      <c r="FT71" s="63"/>
      <c r="FU71" s="63"/>
      <c r="FV71" s="63"/>
      <c r="FW71" s="63"/>
      <c r="FX71" s="63"/>
      <c r="FY71" s="63"/>
      <c r="FZ71" s="63"/>
      <c r="GA71" s="63"/>
      <c r="GB71" s="63"/>
      <c r="GC71" s="63"/>
      <c r="GD71" s="63"/>
      <c r="GE71" s="63"/>
      <c r="GF71" s="63"/>
      <c r="GG71" s="63"/>
      <c r="GH71" s="63"/>
      <c r="GI71" s="63"/>
      <c r="GJ71" s="63"/>
      <c r="GK71" s="63"/>
      <c r="GL71" s="63"/>
      <c r="GM71" s="63"/>
      <c r="GN71" s="63"/>
      <c r="GO71" s="63"/>
      <c r="GP71" s="63"/>
      <c r="GQ71" s="63"/>
      <c r="GR71" s="63"/>
      <c r="GS71" s="63"/>
      <c r="GT71" s="63"/>
      <c r="GU71" s="63"/>
      <c r="GV71" s="63"/>
      <c r="GW71" s="63"/>
      <c r="GX71" s="63"/>
      <c r="GY71" s="63"/>
      <c r="GZ71" s="63"/>
      <c r="HA71" s="63"/>
      <c r="HB71" s="63"/>
      <c r="HC71" s="63"/>
      <c r="HD71" s="63"/>
      <c r="HE71" s="63"/>
      <c r="HF71" s="63"/>
      <c r="HG71" s="63"/>
      <c r="HH71" s="63"/>
      <c r="HI71" s="63"/>
      <c r="HJ71" s="63"/>
      <c r="HK71" s="63"/>
      <c r="HL71" s="63"/>
      <c r="HM71" s="63"/>
      <c r="HN71" s="63"/>
      <c r="HO71" s="63"/>
      <c r="HP71" s="63"/>
      <c r="HQ71" s="63"/>
      <c r="HR71" s="63"/>
      <c r="HS71" s="63"/>
      <c r="HT71" s="63"/>
      <c r="HU71" s="63"/>
      <c r="HV71" s="63"/>
      <c r="HW71" s="63"/>
      <c r="HX71" s="63"/>
      <c r="HY71" s="63"/>
      <c r="HZ71" s="63"/>
      <c r="IA71" s="63"/>
      <c r="IB71" s="63"/>
      <c r="IC71" s="63"/>
      <c r="ID71" s="63"/>
      <c r="IE71" s="63"/>
      <c r="IF71" s="63"/>
      <c r="IG71" s="63"/>
      <c r="IH71" s="63"/>
      <c r="II71" s="63"/>
      <c r="IJ71" s="63"/>
      <c r="IK71" s="63"/>
      <c r="IL71" s="63"/>
      <c r="IM71" s="63"/>
      <c r="IN71" s="63"/>
      <c r="IO71" s="63"/>
      <c r="IP71" s="63"/>
      <c r="IQ71" s="63"/>
      <c r="IR71" s="63"/>
      <c r="IS71" s="63"/>
      <c r="IT71" s="63"/>
      <c r="IU71" s="63"/>
      <c r="IV71" s="63"/>
      <c r="IW71" s="63"/>
    </row>
    <row r="72" spans="1:257">
      <c r="A72" s="74">
        <v>350</v>
      </c>
      <c r="B72" s="62">
        <v>44392</v>
      </c>
      <c r="C72" s="71" t="s">
        <v>93</v>
      </c>
      <c r="D72" s="60">
        <v>44363</v>
      </c>
      <c r="E72" s="34" t="s">
        <v>89</v>
      </c>
      <c r="F72" s="61">
        <v>754.68</v>
      </c>
      <c r="G72" s="38">
        <v>45093</v>
      </c>
      <c r="H72" s="62">
        <v>45853</v>
      </c>
      <c r="I72" s="75">
        <v>20000</v>
      </c>
      <c r="J72" s="76">
        <v>36616</v>
      </c>
      <c r="K72" s="13">
        <v>107860</v>
      </c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3"/>
      <c r="BV72" s="63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3"/>
      <c r="CL72" s="63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3"/>
      <c r="DB72" s="63"/>
      <c r="DC72" s="63"/>
      <c r="DD72" s="63"/>
      <c r="DE72" s="63"/>
      <c r="DF72" s="63"/>
      <c r="DG72" s="63"/>
      <c r="DH72" s="63"/>
      <c r="DI72" s="63"/>
      <c r="DJ72" s="63"/>
      <c r="DK72" s="63"/>
      <c r="DL72" s="63"/>
      <c r="DM72" s="63"/>
      <c r="DN72" s="63"/>
      <c r="DO72" s="63"/>
      <c r="DP72" s="63"/>
      <c r="DQ72" s="63"/>
      <c r="DR72" s="63"/>
      <c r="DS72" s="63"/>
      <c r="DT72" s="63"/>
      <c r="DU72" s="63"/>
      <c r="DV72" s="63"/>
      <c r="DW72" s="63"/>
      <c r="DX72" s="63"/>
      <c r="DY72" s="63"/>
      <c r="DZ72" s="63"/>
      <c r="EA72" s="63"/>
      <c r="EB72" s="63"/>
      <c r="EC72" s="63"/>
      <c r="ED72" s="63"/>
      <c r="EE72" s="63"/>
      <c r="EF72" s="63"/>
      <c r="EG72" s="63"/>
      <c r="EH72" s="63"/>
      <c r="EI72" s="63"/>
      <c r="EJ72" s="63"/>
      <c r="EK72" s="63"/>
      <c r="EL72" s="63"/>
      <c r="EM72" s="63"/>
      <c r="EN72" s="63"/>
      <c r="EO72" s="63"/>
      <c r="EP72" s="63"/>
      <c r="EQ72" s="63"/>
      <c r="ER72" s="63"/>
      <c r="ES72" s="63"/>
      <c r="ET72" s="63"/>
      <c r="EU72" s="63"/>
      <c r="EV72" s="63"/>
      <c r="EW72" s="63"/>
      <c r="EX72" s="63"/>
      <c r="EY72" s="63"/>
      <c r="EZ72" s="63"/>
      <c r="FA72" s="63"/>
      <c r="FB72" s="63"/>
      <c r="FC72" s="63"/>
      <c r="FD72" s="63"/>
      <c r="FE72" s="63"/>
      <c r="FF72" s="63"/>
      <c r="FG72" s="63"/>
      <c r="FH72" s="63"/>
      <c r="FI72" s="63"/>
      <c r="FJ72" s="63"/>
      <c r="FK72" s="63"/>
      <c r="FL72" s="63"/>
      <c r="FM72" s="63"/>
      <c r="FN72" s="63"/>
      <c r="FO72" s="63"/>
      <c r="FP72" s="63"/>
      <c r="FQ72" s="63"/>
      <c r="FR72" s="63"/>
      <c r="FS72" s="63"/>
      <c r="FT72" s="63"/>
      <c r="FU72" s="63"/>
      <c r="FV72" s="63"/>
      <c r="FW72" s="63"/>
      <c r="FX72" s="63"/>
      <c r="FY72" s="63"/>
      <c r="FZ72" s="63"/>
      <c r="GA72" s="63"/>
      <c r="GB72" s="63"/>
      <c r="GC72" s="63"/>
      <c r="GD72" s="63"/>
      <c r="GE72" s="63"/>
      <c r="GF72" s="63"/>
      <c r="GG72" s="63"/>
      <c r="GH72" s="63"/>
      <c r="GI72" s="63"/>
      <c r="GJ72" s="63"/>
      <c r="GK72" s="63"/>
      <c r="GL72" s="63"/>
      <c r="GM72" s="63"/>
      <c r="GN72" s="63"/>
      <c r="GO72" s="63"/>
      <c r="GP72" s="63"/>
      <c r="GQ72" s="63"/>
      <c r="GR72" s="63"/>
      <c r="GS72" s="63"/>
      <c r="GT72" s="63"/>
      <c r="GU72" s="63"/>
      <c r="GV72" s="63"/>
      <c r="GW72" s="63"/>
      <c r="GX72" s="63"/>
      <c r="GY72" s="63"/>
      <c r="GZ72" s="63"/>
      <c r="HA72" s="63"/>
      <c r="HB72" s="63"/>
      <c r="HC72" s="63"/>
      <c r="HD72" s="63"/>
      <c r="HE72" s="63"/>
      <c r="HF72" s="63"/>
      <c r="HG72" s="63"/>
      <c r="HH72" s="63"/>
      <c r="HI72" s="63"/>
      <c r="HJ72" s="63"/>
      <c r="HK72" s="63"/>
      <c r="HL72" s="63"/>
      <c r="HM72" s="63"/>
      <c r="HN72" s="63"/>
      <c r="HO72" s="63"/>
      <c r="HP72" s="63"/>
      <c r="HQ72" s="63"/>
      <c r="HR72" s="63"/>
      <c r="HS72" s="63"/>
      <c r="HT72" s="63"/>
      <c r="HU72" s="63"/>
      <c r="HV72" s="63"/>
      <c r="HW72" s="63"/>
      <c r="HX72" s="63"/>
      <c r="HY72" s="63"/>
      <c r="HZ72" s="63"/>
      <c r="IA72" s="63"/>
      <c r="IB72" s="63"/>
      <c r="IC72" s="63"/>
      <c r="ID72" s="63"/>
      <c r="IE72" s="63"/>
      <c r="IF72" s="63"/>
      <c r="IG72" s="63"/>
      <c r="IH72" s="63"/>
      <c r="II72" s="63"/>
      <c r="IJ72" s="63"/>
      <c r="IK72" s="63"/>
      <c r="IL72" s="63"/>
      <c r="IM72" s="63"/>
      <c r="IN72" s="63"/>
      <c r="IO72" s="63"/>
      <c r="IP72" s="63"/>
      <c r="IQ72" s="63"/>
      <c r="IR72" s="63"/>
      <c r="IS72" s="63"/>
      <c r="IT72" s="63"/>
      <c r="IU72" s="63"/>
      <c r="IV72" s="63"/>
      <c r="IW72" s="63"/>
    </row>
    <row r="73" spans="1:257">
      <c r="A73" s="17"/>
      <c r="B73" s="18">
        <v>44392</v>
      </c>
      <c r="C73" s="71" t="s">
        <v>94</v>
      </c>
      <c r="D73" s="40">
        <v>44363</v>
      </c>
      <c r="E73" s="34" t="s">
        <v>89</v>
      </c>
      <c r="F73" s="21">
        <v>754.68</v>
      </c>
      <c r="G73" s="38">
        <v>45093</v>
      </c>
      <c r="H73" s="18">
        <v>45853</v>
      </c>
      <c r="I73" s="69">
        <v>20000</v>
      </c>
      <c r="J73" s="16">
        <v>71064</v>
      </c>
      <c r="K73" s="13">
        <v>125039</v>
      </c>
    </row>
    <row r="74" spans="1:257">
      <c r="A74" s="77">
        <v>333</v>
      </c>
      <c r="B74" s="31">
        <v>44392</v>
      </c>
      <c r="C74" s="78" t="s">
        <v>95</v>
      </c>
      <c r="D74" s="79">
        <v>44363</v>
      </c>
      <c r="E74" s="80" t="s">
        <v>89</v>
      </c>
      <c r="F74" s="81">
        <v>754.68</v>
      </c>
      <c r="G74" s="82">
        <v>45093</v>
      </c>
      <c r="H74" s="31">
        <v>45853</v>
      </c>
      <c r="I74" s="83">
        <v>20000</v>
      </c>
      <c r="J74" s="84">
        <v>27606</v>
      </c>
      <c r="K74" s="13">
        <v>45154</v>
      </c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  <c r="FU74" s="85"/>
      <c r="FV74" s="85"/>
      <c r="FW74" s="85"/>
      <c r="FX74" s="85"/>
      <c r="FY74" s="85"/>
      <c r="FZ74" s="85"/>
      <c r="GA74" s="85"/>
      <c r="GB74" s="85"/>
      <c r="GC74" s="85"/>
      <c r="GD74" s="85"/>
      <c r="GE74" s="85"/>
      <c r="GF74" s="85"/>
      <c r="GG74" s="85"/>
      <c r="GH74" s="85"/>
      <c r="GI74" s="85"/>
      <c r="GJ74" s="85"/>
      <c r="GK74" s="85"/>
      <c r="GL74" s="85"/>
      <c r="GM74" s="85"/>
      <c r="GN74" s="85"/>
      <c r="GO74" s="85"/>
      <c r="GP74" s="85"/>
      <c r="GQ74" s="85"/>
      <c r="GR74" s="85"/>
      <c r="GS74" s="85"/>
      <c r="GT74" s="85"/>
      <c r="GU74" s="85"/>
      <c r="GV74" s="85"/>
      <c r="GW74" s="85"/>
      <c r="GX74" s="85"/>
      <c r="GY74" s="85"/>
      <c r="GZ74" s="85"/>
      <c r="HA74" s="85"/>
      <c r="HB74" s="85"/>
      <c r="HC74" s="85"/>
      <c r="HD74" s="85"/>
      <c r="HE74" s="85"/>
      <c r="HF74" s="85"/>
      <c r="HG74" s="85"/>
      <c r="HH74" s="85"/>
      <c r="HI74" s="85"/>
      <c r="HJ74" s="85"/>
      <c r="HK74" s="85"/>
      <c r="HL74" s="85"/>
      <c r="HM74" s="85"/>
      <c r="HN74" s="85"/>
      <c r="HO74" s="85"/>
      <c r="HP74" s="85"/>
      <c r="HQ74" s="85"/>
      <c r="HR74" s="85"/>
      <c r="HS74" s="85"/>
      <c r="HT74" s="85"/>
      <c r="HU74" s="85"/>
      <c r="HV74" s="85"/>
      <c r="HW74" s="85"/>
      <c r="HX74" s="85"/>
      <c r="HY74" s="85"/>
      <c r="HZ74" s="85"/>
      <c r="IA74" s="85"/>
      <c r="IB74" s="85"/>
      <c r="IC74" s="85"/>
      <c r="ID74" s="85"/>
      <c r="IE74" s="85"/>
      <c r="IF74" s="85"/>
      <c r="IG74" s="85"/>
      <c r="IH74" s="85"/>
      <c r="II74" s="85"/>
      <c r="IJ74" s="85"/>
      <c r="IK74" s="85"/>
      <c r="IL74" s="85"/>
      <c r="IM74" s="85"/>
      <c r="IN74" s="85"/>
      <c r="IO74" s="85"/>
      <c r="IP74" s="85"/>
      <c r="IQ74" s="85"/>
      <c r="IR74" s="85"/>
      <c r="IS74" s="85"/>
      <c r="IT74" s="85"/>
      <c r="IU74" s="85"/>
      <c r="IV74" s="85"/>
      <c r="IW74" s="85"/>
    </row>
    <row r="75" spans="1:257">
      <c r="A75" s="17">
        <v>359</v>
      </c>
      <c r="B75" s="18">
        <v>44392</v>
      </c>
      <c r="C75" s="71" t="s">
        <v>96</v>
      </c>
      <c r="D75" s="40">
        <v>44363</v>
      </c>
      <c r="E75" s="34" t="s">
        <v>89</v>
      </c>
      <c r="F75" s="21">
        <v>754.68</v>
      </c>
      <c r="G75" s="38">
        <v>45093</v>
      </c>
      <c r="H75" s="18">
        <v>45853</v>
      </c>
      <c r="I75" s="72">
        <v>20000</v>
      </c>
      <c r="J75" s="28">
        <v>61207</v>
      </c>
      <c r="K75" s="13">
        <v>99620</v>
      </c>
    </row>
    <row r="76" spans="1:257">
      <c r="A76" s="17">
        <v>354</v>
      </c>
      <c r="B76" s="18">
        <v>44392</v>
      </c>
      <c r="C76" s="86" t="s">
        <v>97</v>
      </c>
      <c r="D76" s="40">
        <v>44363</v>
      </c>
      <c r="E76" s="34" t="s">
        <v>89</v>
      </c>
      <c r="F76" s="21">
        <v>754.68</v>
      </c>
      <c r="G76" s="38">
        <v>45093</v>
      </c>
      <c r="H76" s="18">
        <v>45853</v>
      </c>
      <c r="I76" s="69">
        <v>20000</v>
      </c>
      <c r="J76" s="16">
        <v>59582</v>
      </c>
      <c r="K76" s="13">
        <v>105302</v>
      </c>
    </row>
    <row r="77" spans="1:257">
      <c r="A77" s="17">
        <v>337</v>
      </c>
      <c r="B77" s="87">
        <v>44392</v>
      </c>
      <c r="C77" s="88" t="s">
        <v>98</v>
      </c>
      <c r="D77" s="89">
        <v>44363</v>
      </c>
      <c r="E77" s="34" t="s">
        <v>89</v>
      </c>
      <c r="F77" s="21">
        <v>754.68</v>
      </c>
      <c r="G77" s="38">
        <v>45093</v>
      </c>
      <c r="H77" s="18">
        <v>45853</v>
      </c>
      <c r="I77" s="69">
        <v>20000</v>
      </c>
      <c r="J77" s="16">
        <v>69235</v>
      </c>
      <c r="K77" s="13">
        <v>135415</v>
      </c>
    </row>
    <row r="78" spans="1:257">
      <c r="A78" s="17">
        <v>328</v>
      </c>
      <c r="B78" s="87">
        <v>44392</v>
      </c>
      <c r="C78" s="90" t="s">
        <v>99</v>
      </c>
      <c r="D78" s="89">
        <v>44363</v>
      </c>
      <c r="E78" s="34" t="s">
        <v>84</v>
      </c>
      <c r="F78" s="21">
        <v>754.68</v>
      </c>
      <c r="G78" s="38">
        <v>45093</v>
      </c>
      <c r="H78" s="18">
        <v>45853</v>
      </c>
      <c r="I78" s="69">
        <v>20000</v>
      </c>
      <c r="J78" s="16">
        <v>94143</v>
      </c>
      <c r="K78" s="13">
        <v>122623</v>
      </c>
    </row>
    <row r="79" spans="1:257">
      <c r="A79" s="17">
        <v>342</v>
      </c>
      <c r="B79" s="18">
        <v>44392</v>
      </c>
      <c r="C79" s="91" t="s">
        <v>100</v>
      </c>
      <c r="D79" s="40">
        <v>44363</v>
      </c>
      <c r="E79" s="34" t="s">
        <v>89</v>
      </c>
      <c r="F79" s="21">
        <v>754.68</v>
      </c>
      <c r="G79" s="38">
        <v>45093</v>
      </c>
      <c r="H79" s="18">
        <v>45853</v>
      </c>
      <c r="I79" s="72">
        <v>20000</v>
      </c>
      <c r="J79" s="28">
        <v>60079</v>
      </c>
      <c r="K79" s="13">
        <v>96431</v>
      </c>
    </row>
    <row r="80" spans="1:257">
      <c r="A80" s="17">
        <v>346</v>
      </c>
      <c r="B80" s="18">
        <v>44392</v>
      </c>
      <c r="C80" s="78" t="s">
        <v>101</v>
      </c>
      <c r="D80" s="40">
        <v>44363</v>
      </c>
      <c r="E80" s="34" t="s">
        <v>89</v>
      </c>
      <c r="F80" s="21">
        <v>754.68</v>
      </c>
      <c r="G80" s="38">
        <v>45093</v>
      </c>
      <c r="H80" s="18">
        <v>45853</v>
      </c>
      <c r="I80" s="72">
        <v>20000</v>
      </c>
      <c r="J80" s="28">
        <v>60150</v>
      </c>
      <c r="K80" s="13">
        <v>113019</v>
      </c>
    </row>
    <row r="81" spans="1:11">
      <c r="A81" s="17">
        <v>355</v>
      </c>
      <c r="B81" s="18">
        <v>44392</v>
      </c>
      <c r="C81" s="71" t="s">
        <v>102</v>
      </c>
      <c r="D81" s="40">
        <v>44363</v>
      </c>
      <c r="E81" s="34" t="s">
        <v>89</v>
      </c>
      <c r="F81" s="21">
        <v>754.68</v>
      </c>
      <c r="G81" s="38">
        <v>45093</v>
      </c>
      <c r="H81" s="18">
        <v>45853</v>
      </c>
      <c r="I81" s="69">
        <v>20000</v>
      </c>
      <c r="J81" s="16">
        <v>55970</v>
      </c>
      <c r="K81" s="13">
        <v>105377</v>
      </c>
    </row>
    <row r="82" spans="1:11">
      <c r="A82" s="17">
        <v>353</v>
      </c>
      <c r="B82" s="18">
        <v>44392</v>
      </c>
      <c r="C82" s="71" t="s">
        <v>103</v>
      </c>
      <c r="D82" s="40">
        <v>44363</v>
      </c>
      <c r="E82" s="34" t="s">
        <v>89</v>
      </c>
      <c r="F82" s="21">
        <v>754.68</v>
      </c>
      <c r="G82" s="38">
        <v>45093</v>
      </c>
      <c r="H82" s="18">
        <v>45853</v>
      </c>
      <c r="I82" s="72">
        <v>20000</v>
      </c>
      <c r="J82" s="28">
        <v>40560</v>
      </c>
      <c r="K82" s="13">
        <v>78422</v>
      </c>
    </row>
    <row r="83" spans="1:11">
      <c r="A83" s="17">
        <v>344</v>
      </c>
      <c r="B83" s="18">
        <v>44392</v>
      </c>
      <c r="C83" s="71" t="s">
        <v>104</v>
      </c>
      <c r="D83" s="40">
        <v>44363</v>
      </c>
      <c r="E83" s="34" t="s">
        <v>89</v>
      </c>
      <c r="F83" s="21">
        <v>754.68</v>
      </c>
      <c r="G83" s="38">
        <v>45093</v>
      </c>
      <c r="H83" s="18">
        <v>45853</v>
      </c>
      <c r="I83" s="69">
        <v>20000</v>
      </c>
      <c r="J83" s="16">
        <v>39823</v>
      </c>
      <c r="K83" s="13">
        <v>77480</v>
      </c>
    </row>
    <row r="84" spans="1:11">
      <c r="A84" s="17">
        <v>356</v>
      </c>
      <c r="B84" s="18">
        <v>44392</v>
      </c>
      <c r="C84" s="71" t="s">
        <v>105</v>
      </c>
      <c r="D84" s="40">
        <v>44364</v>
      </c>
      <c r="E84" s="34" t="s">
        <v>89</v>
      </c>
      <c r="F84" s="21">
        <v>754.68</v>
      </c>
      <c r="G84" s="38">
        <v>45094</v>
      </c>
      <c r="H84" s="18">
        <v>45853</v>
      </c>
      <c r="I84" s="69">
        <v>20000</v>
      </c>
      <c r="J84" s="16">
        <v>60307</v>
      </c>
      <c r="K84" s="13">
        <v>121503</v>
      </c>
    </row>
    <row r="85" spans="1:11">
      <c r="A85" s="17">
        <v>358</v>
      </c>
      <c r="B85" s="18">
        <v>44392</v>
      </c>
      <c r="C85" s="71" t="s">
        <v>106</v>
      </c>
      <c r="D85" s="40">
        <v>44364</v>
      </c>
      <c r="E85" s="34" t="s">
        <v>89</v>
      </c>
      <c r="F85" s="21">
        <v>754.68</v>
      </c>
      <c r="G85" s="38">
        <v>45094</v>
      </c>
      <c r="H85" s="18">
        <v>45853</v>
      </c>
      <c r="I85" s="69">
        <v>20000</v>
      </c>
      <c r="J85" s="16">
        <v>37091</v>
      </c>
      <c r="K85" s="13">
        <v>75801</v>
      </c>
    </row>
    <row r="86" spans="1:11">
      <c r="A86" s="17">
        <v>343</v>
      </c>
      <c r="B86" s="18">
        <v>44392</v>
      </c>
      <c r="C86" s="71" t="s">
        <v>107</v>
      </c>
      <c r="D86" s="40">
        <v>44364</v>
      </c>
      <c r="E86" s="34" t="s">
        <v>89</v>
      </c>
      <c r="F86" s="21">
        <v>754.68</v>
      </c>
      <c r="G86" s="38">
        <v>45094</v>
      </c>
      <c r="H86" s="18">
        <v>45853</v>
      </c>
      <c r="I86" s="72">
        <v>20000</v>
      </c>
      <c r="J86" s="28">
        <v>108652</v>
      </c>
      <c r="K86" s="13">
        <v>148331</v>
      </c>
    </row>
    <row r="87" spans="1:11">
      <c r="A87" s="17">
        <v>351</v>
      </c>
      <c r="B87" s="18">
        <v>44392</v>
      </c>
      <c r="C87" s="71" t="s">
        <v>108</v>
      </c>
      <c r="D87" s="40">
        <v>44364</v>
      </c>
      <c r="E87" s="34" t="s">
        <v>89</v>
      </c>
      <c r="F87" s="21">
        <v>754.68</v>
      </c>
      <c r="G87" s="38">
        <v>45094</v>
      </c>
      <c r="H87" s="18">
        <v>45853</v>
      </c>
      <c r="I87" s="69">
        <v>20000</v>
      </c>
      <c r="J87" s="16">
        <v>12063</v>
      </c>
      <c r="K87" s="13">
        <v>85274</v>
      </c>
    </row>
    <row r="88" spans="1:11">
      <c r="A88" s="17">
        <v>352</v>
      </c>
      <c r="B88" s="18">
        <v>44392</v>
      </c>
      <c r="C88" s="71" t="s">
        <v>109</v>
      </c>
      <c r="D88" s="40">
        <v>44364</v>
      </c>
      <c r="E88" s="34" t="s">
        <v>89</v>
      </c>
      <c r="F88" s="21">
        <v>754.68</v>
      </c>
      <c r="G88" s="38">
        <v>45094</v>
      </c>
      <c r="H88" s="18">
        <v>45853</v>
      </c>
      <c r="I88" s="69">
        <v>20000</v>
      </c>
      <c r="J88" s="16">
        <v>40429</v>
      </c>
      <c r="K88" s="13">
        <v>89404</v>
      </c>
    </row>
    <row r="89" spans="1:11">
      <c r="A89" s="17">
        <v>347</v>
      </c>
      <c r="B89" s="18">
        <v>44392</v>
      </c>
      <c r="C89" s="71" t="s">
        <v>110</v>
      </c>
      <c r="D89" s="40">
        <v>44363</v>
      </c>
      <c r="E89" s="34" t="s">
        <v>89</v>
      </c>
      <c r="F89" s="21">
        <v>754.68</v>
      </c>
      <c r="G89" s="38">
        <v>45093</v>
      </c>
      <c r="H89" s="18">
        <v>45853</v>
      </c>
      <c r="I89" s="69">
        <v>20000</v>
      </c>
      <c r="J89" s="16">
        <v>26297</v>
      </c>
      <c r="K89" s="13">
        <v>60431</v>
      </c>
    </row>
    <row r="90" spans="1:11">
      <c r="A90" s="17">
        <v>332</v>
      </c>
      <c r="B90" s="18">
        <v>44392</v>
      </c>
      <c r="C90" s="71" t="s">
        <v>111</v>
      </c>
      <c r="D90" s="40">
        <v>44363</v>
      </c>
      <c r="E90" s="34" t="s">
        <v>89</v>
      </c>
      <c r="F90" s="21">
        <v>754.68</v>
      </c>
      <c r="G90" s="38">
        <v>45093</v>
      </c>
      <c r="H90" s="18">
        <v>45853</v>
      </c>
      <c r="I90" s="69">
        <v>20000</v>
      </c>
      <c r="J90" s="16">
        <v>22549</v>
      </c>
      <c r="K90" s="13">
        <v>43544</v>
      </c>
    </row>
    <row r="91" spans="1:11">
      <c r="A91" s="17">
        <v>336</v>
      </c>
      <c r="B91" s="18">
        <v>44392</v>
      </c>
      <c r="C91" s="71" t="s">
        <v>112</v>
      </c>
      <c r="D91" s="40">
        <v>44363</v>
      </c>
      <c r="E91" s="34" t="s">
        <v>89</v>
      </c>
      <c r="F91" s="21">
        <v>754.68</v>
      </c>
      <c r="G91" s="38">
        <v>45093</v>
      </c>
      <c r="H91" s="18">
        <v>45853</v>
      </c>
      <c r="I91" s="72">
        <v>20000</v>
      </c>
      <c r="J91" s="28">
        <v>60465</v>
      </c>
      <c r="K91" s="13">
        <v>105225</v>
      </c>
    </row>
    <row r="92" spans="1:11">
      <c r="A92" s="17">
        <v>338</v>
      </c>
      <c r="B92" s="18">
        <v>44392</v>
      </c>
      <c r="C92" s="71" t="s">
        <v>113</v>
      </c>
      <c r="D92" s="40">
        <v>44363</v>
      </c>
      <c r="E92" s="34" t="s">
        <v>89</v>
      </c>
      <c r="F92" s="21">
        <v>754.68</v>
      </c>
      <c r="G92" s="38">
        <v>45093</v>
      </c>
      <c r="H92" s="18">
        <v>45853</v>
      </c>
      <c r="I92" s="69">
        <v>20000</v>
      </c>
      <c r="J92" s="16">
        <v>25809</v>
      </c>
      <c r="K92" s="13">
        <v>57375</v>
      </c>
    </row>
    <row r="93" spans="1:11">
      <c r="A93" s="17">
        <v>339</v>
      </c>
      <c r="B93" s="18">
        <v>44392</v>
      </c>
      <c r="C93" s="71" t="s">
        <v>114</v>
      </c>
      <c r="D93" s="40">
        <v>44363</v>
      </c>
      <c r="E93" s="34" t="s">
        <v>89</v>
      </c>
      <c r="F93" s="21">
        <v>754.68</v>
      </c>
      <c r="G93" s="38">
        <v>45093</v>
      </c>
      <c r="H93" s="18">
        <v>45853</v>
      </c>
      <c r="I93" s="69">
        <v>20000</v>
      </c>
      <c r="J93" s="16">
        <v>40275</v>
      </c>
      <c r="K93" s="13">
        <v>99963</v>
      </c>
    </row>
    <row r="94" spans="1:11">
      <c r="A94" s="17">
        <v>360</v>
      </c>
      <c r="B94" s="18">
        <v>44392</v>
      </c>
      <c r="C94" s="71" t="s">
        <v>115</v>
      </c>
      <c r="D94" s="40">
        <v>44363</v>
      </c>
      <c r="E94" s="34" t="s">
        <v>89</v>
      </c>
      <c r="F94" s="21">
        <v>754.68</v>
      </c>
      <c r="G94" s="38">
        <v>45093</v>
      </c>
      <c r="H94" s="18">
        <v>45853</v>
      </c>
      <c r="I94" s="69">
        <v>20000</v>
      </c>
      <c r="J94" s="16">
        <v>75687</v>
      </c>
      <c r="K94" s="13">
        <v>136092</v>
      </c>
    </row>
    <row r="95" spans="1:11">
      <c r="A95" s="17">
        <v>348</v>
      </c>
      <c r="B95" s="18">
        <v>44392</v>
      </c>
      <c r="C95" s="71" t="s">
        <v>116</v>
      </c>
      <c r="D95" s="40">
        <v>44363</v>
      </c>
      <c r="E95" s="34" t="s">
        <v>89</v>
      </c>
      <c r="F95" s="21">
        <v>754.68</v>
      </c>
      <c r="G95" s="38">
        <v>45093</v>
      </c>
      <c r="H95" s="18">
        <v>45853</v>
      </c>
      <c r="I95" s="69">
        <v>20000</v>
      </c>
      <c r="J95" s="16">
        <v>60129</v>
      </c>
      <c r="K95" s="13">
        <v>126961</v>
      </c>
    </row>
    <row r="96" spans="1:11">
      <c r="A96" s="17">
        <v>345</v>
      </c>
      <c r="B96" s="18">
        <v>44392</v>
      </c>
      <c r="C96" s="71" t="s">
        <v>117</v>
      </c>
      <c r="D96" s="40">
        <v>44363</v>
      </c>
      <c r="E96" s="34" t="s">
        <v>89</v>
      </c>
      <c r="F96" s="21">
        <v>754.68</v>
      </c>
      <c r="G96" s="38">
        <v>45093</v>
      </c>
      <c r="H96" s="18">
        <v>45853</v>
      </c>
      <c r="I96" s="72">
        <v>20000</v>
      </c>
      <c r="J96" s="21">
        <v>33498</v>
      </c>
      <c r="K96" s="13">
        <v>88229</v>
      </c>
    </row>
    <row r="97" spans="1:257">
      <c r="A97" s="17">
        <v>335</v>
      </c>
      <c r="B97" s="18">
        <v>44392</v>
      </c>
      <c r="C97" s="71" t="s">
        <v>118</v>
      </c>
      <c r="D97" s="40">
        <v>44363</v>
      </c>
      <c r="E97" s="34" t="s">
        <v>89</v>
      </c>
      <c r="F97" s="21">
        <v>754.68</v>
      </c>
      <c r="G97" s="38">
        <v>45093</v>
      </c>
      <c r="H97" s="18">
        <v>45853</v>
      </c>
      <c r="I97" s="69">
        <v>20000</v>
      </c>
      <c r="J97" s="16">
        <v>37102</v>
      </c>
      <c r="K97" s="13">
        <v>79115</v>
      </c>
    </row>
    <row r="98" spans="1:257">
      <c r="A98" s="17">
        <v>331</v>
      </c>
      <c r="B98" s="18">
        <v>44392</v>
      </c>
      <c r="C98" s="71" t="s">
        <v>119</v>
      </c>
      <c r="D98" s="40">
        <v>44363</v>
      </c>
      <c r="E98" s="34" t="s">
        <v>89</v>
      </c>
      <c r="F98" s="21">
        <v>754.68</v>
      </c>
      <c r="G98" s="38">
        <v>45093</v>
      </c>
      <c r="H98" s="18">
        <v>45853</v>
      </c>
      <c r="I98" s="72">
        <v>20000</v>
      </c>
      <c r="J98" s="28">
        <v>42235</v>
      </c>
      <c r="K98" s="13">
        <v>74274</v>
      </c>
    </row>
    <row r="99" spans="1:257">
      <c r="A99" s="17">
        <v>361</v>
      </c>
      <c r="B99" s="18">
        <v>44392</v>
      </c>
      <c r="C99" s="71" t="s">
        <v>120</v>
      </c>
      <c r="D99" s="40">
        <v>44363</v>
      </c>
      <c r="E99" s="34" t="s">
        <v>121</v>
      </c>
      <c r="F99" s="21">
        <v>492.2</v>
      </c>
      <c r="G99" s="38">
        <v>45093</v>
      </c>
      <c r="H99" s="18">
        <v>45853</v>
      </c>
      <c r="I99" s="69">
        <v>20000</v>
      </c>
      <c r="J99" s="16">
        <v>59345</v>
      </c>
      <c r="K99" s="13">
        <v>93350</v>
      </c>
    </row>
    <row r="100" spans="1:257">
      <c r="A100" s="42">
        <v>362</v>
      </c>
      <c r="B100" s="46">
        <v>44392</v>
      </c>
      <c r="C100" s="71" t="s">
        <v>122</v>
      </c>
      <c r="D100" s="44">
        <v>44363</v>
      </c>
      <c r="E100" s="34" t="s">
        <v>121</v>
      </c>
      <c r="F100" s="45">
        <v>492.2</v>
      </c>
      <c r="G100" s="38">
        <v>45093</v>
      </c>
      <c r="H100" s="46">
        <v>45853</v>
      </c>
      <c r="I100" s="92">
        <v>20000</v>
      </c>
      <c r="J100" s="48">
        <v>50328</v>
      </c>
      <c r="K100" s="13">
        <v>89761</v>
      </c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49"/>
      <c r="CU100" s="49"/>
      <c r="CV100" s="49"/>
      <c r="CW100" s="49"/>
      <c r="CX100" s="49"/>
      <c r="CY100" s="49"/>
      <c r="CZ100" s="49"/>
      <c r="DA100" s="49"/>
      <c r="DB100" s="49"/>
      <c r="DC100" s="49"/>
      <c r="DD100" s="49"/>
      <c r="DE100" s="49"/>
      <c r="DF100" s="49"/>
      <c r="DG100" s="49"/>
      <c r="DH100" s="49"/>
      <c r="DI100" s="49"/>
      <c r="DJ100" s="49"/>
      <c r="DK100" s="49"/>
      <c r="DL100" s="49"/>
      <c r="DM100" s="49"/>
      <c r="DN100" s="49"/>
      <c r="DO100" s="49"/>
      <c r="DP100" s="49"/>
      <c r="DQ100" s="49"/>
      <c r="DR100" s="49"/>
      <c r="DS100" s="49"/>
      <c r="DT100" s="49"/>
      <c r="DU100" s="49"/>
      <c r="DV100" s="49"/>
      <c r="DW100" s="49"/>
      <c r="DX100" s="49"/>
      <c r="DY100" s="49"/>
      <c r="DZ100" s="49"/>
      <c r="EA100" s="49"/>
      <c r="EB100" s="49"/>
      <c r="EC100" s="49"/>
      <c r="ED100" s="49"/>
      <c r="EE100" s="49"/>
      <c r="EF100" s="49"/>
      <c r="EG100" s="49"/>
      <c r="EH100" s="49"/>
      <c r="EI100" s="49"/>
      <c r="EJ100" s="49"/>
      <c r="EK100" s="49"/>
      <c r="EL100" s="49"/>
      <c r="EM100" s="49"/>
      <c r="EN100" s="49"/>
      <c r="EO100" s="49"/>
      <c r="EP100" s="49"/>
      <c r="EQ100" s="49"/>
      <c r="ER100" s="49"/>
      <c r="ES100" s="49"/>
      <c r="ET100" s="49"/>
      <c r="EU100" s="49"/>
      <c r="EV100" s="49"/>
      <c r="EW100" s="49"/>
      <c r="EX100" s="49"/>
      <c r="EY100" s="49"/>
      <c r="EZ100" s="49"/>
      <c r="FA100" s="49"/>
      <c r="FB100" s="49"/>
      <c r="FC100" s="49"/>
      <c r="FD100" s="49"/>
      <c r="FE100" s="49"/>
      <c r="FF100" s="49"/>
      <c r="FG100" s="49"/>
      <c r="FH100" s="49"/>
      <c r="FI100" s="49"/>
      <c r="FJ100" s="49"/>
      <c r="FK100" s="49"/>
      <c r="FL100" s="49"/>
      <c r="FM100" s="49"/>
      <c r="FN100" s="49"/>
      <c r="FO100" s="49"/>
      <c r="FP100" s="49"/>
      <c r="FQ100" s="49"/>
      <c r="FR100" s="49"/>
      <c r="FS100" s="49"/>
      <c r="FT100" s="49"/>
      <c r="FU100" s="49"/>
      <c r="FV100" s="49"/>
      <c r="FW100" s="49"/>
      <c r="FX100" s="49"/>
      <c r="FY100" s="49"/>
      <c r="FZ100" s="49"/>
      <c r="GA100" s="49"/>
      <c r="GB100" s="49"/>
      <c r="GC100" s="49"/>
      <c r="GD100" s="49"/>
      <c r="GE100" s="49"/>
      <c r="GF100" s="49"/>
      <c r="GG100" s="49"/>
      <c r="GH100" s="49"/>
      <c r="GI100" s="49"/>
      <c r="GJ100" s="49"/>
      <c r="GK100" s="49"/>
      <c r="GL100" s="49"/>
      <c r="GM100" s="49"/>
      <c r="GN100" s="49"/>
      <c r="GO100" s="49"/>
      <c r="GP100" s="49"/>
      <c r="GQ100" s="49"/>
      <c r="GR100" s="49"/>
      <c r="GS100" s="49"/>
      <c r="GT100" s="49"/>
      <c r="GU100" s="49"/>
      <c r="GV100" s="49"/>
      <c r="GW100" s="49"/>
      <c r="GX100" s="49"/>
      <c r="GY100" s="49"/>
      <c r="GZ100" s="49"/>
      <c r="HA100" s="49"/>
      <c r="HB100" s="49"/>
      <c r="HC100" s="49"/>
      <c r="HD100" s="49"/>
      <c r="HE100" s="49"/>
      <c r="HF100" s="49"/>
      <c r="HG100" s="49"/>
      <c r="HH100" s="49"/>
      <c r="HI100" s="49"/>
      <c r="HJ100" s="49"/>
      <c r="HK100" s="49"/>
      <c r="HL100" s="49"/>
      <c r="HM100" s="49"/>
      <c r="HN100" s="49"/>
      <c r="HO100" s="49"/>
      <c r="HP100" s="49"/>
      <c r="HQ100" s="49"/>
      <c r="HR100" s="49"/>
      <c r="HS100" s="49"/>
      <c r="HT100" s="49"/>
      <c r="HU100" s="49"/>
      <c r="HV100" s="49"/>
      <c r="HW100" s="49"/>
      <c r="HX100" s="49"/>
      <c r="HY100" s="49"/>
      <c r="HZ100" s="49"/>
      <c r="IA100" s="49"/>
      <c r="IB100" s="49"/>
      <c r="IC100" s="49"/>
      <c r="ID100" s="49"/>
      <c r="IE100" s="49"/>
      <c r="IF100" s="49"/>
      <c r="IG100" s="49"/>
      <c r="IH100" s="49"/>
      <c r="II100" s="49"/>
      <c r="IJ100" s="49"/>
      <c r="IK100" s="49"/>
      <c r="IL100" s="49"/>
      <c r="IM100" s="49"/>
      <c r="IN100" s="49"/>
      <c r="IO100" s="49"/>
      <c r="IP100" s="49"/>
      <c r="IQ100" s="49"/>
      <c r="IR100" s="49"/>
      <c r="IS100" s="49"/>
      <c r="IT100" s="49"/>
      <c r="IU100" s="49"/>
      <c r="IV100" s="49"/>
      <c r="IW100" s="49"/>
    </row>
    <row r="101" spans="1:257">
      <c r="A101" s="17">
        <v>363</v>
      </c>
      <c r="B101" s="18">
        <v>44392</v>
      </c>
      <c r="C101" s="71" t="s">
        <v>123</v>
      </c>
      <c r="D101" s="40">
        <v>44364</v>
      </c>
      <c r="E101" s="34" t="s">
        <v>124</v>
      </c>
      <c r="F101" s="21">
        <v>579.61</v>
      </c>
      <c r="G101" s="38">
        <v>45094</v>
      </c>
      <c r="H101" s="18">
        <v>45853</v>
      </c>
      <c r="I101" s="69">
        <v>20000</v>
      </c>
      <c r="J101" s="16">
        <v>16806</v>
      </c>
      <c r="K101" s="13">
        <v>22757</v>
      </c>
    </row>
    <row r="102" spans="1:257">
      <c r="A102" s="17">
        <v>389</v>
      </c>
      <c r="B102" s="18">
        <v>44392</v>
      </c>
      <c r="C102" s="64" t="s">
        <v>125</v>
      </c>
      <c r="D102" s="40">
        <v>44389</v>
      </c>
      <c r="E102" s="21" t="s">
        <v>126</v>
      </c>
      <c r="F102" s="21">
        <v>494.21</v>
      </c>
      <c r="G102" s="38">
        <v>45119</v>
      </c>
      <c r="H102" s="18">
        <v>45853</v>
      </c>
      <c r="I102" s="69">
        <v>15000</v>
      </c>
      <c r="J102" s="16">
        <v>31761</v>
      </c>
      <c r="K102" s="13">
        <v>59042</v>
      </c>
    </row>
    <row r="103" spans="1:257">
      <c r="A103" s="17">
        <v>388</v>
      </c>
      <c r="B103" s="18">
        <v>44392</v>
      </c>
      <c r="C103" s="93" t="s">
        <v>127</v>
      </c>
      <c r="D103" s="40">
        <v>44389</v>
      </c>
      <c r="E103" s="21" t="s">
        <v>126</v>
      </c>
      <c r="F103" s="21">
        <v>494.21</v>
      </c>
      <c r="G103" s="38">
        <v>45119</v>
      </c>
      <c r="H103" s="18">
        <v>45853</v>
      </c>
      <c r="I103" s="72">
        <v>15000</v>
      </c>
      <c r="J103" s="28">
        <v>45608</v>
      </c>
      <c r="K103" s="13">
        <v>79341</v>
      </c>
    </row>
    <row r="104" spans="1:257">
      <c r="A104" s="17">
        <v>365</v>
      </c>
      <c r="B104" s="18">
        <v>44392</v>
      </c>
      <c r="C104" s="94" t="s">
        <v>128</v>
      </c>
      <c r="D104" s="95">
        <v>44363</v>
      </c>
      <c r="E104" s="21" t="s">
        <v>129</v>
      </c>
      <c r="F104" s="21">
        <v>651.23</v>
      </c>
      <c r="G104" s="96">
        <v>45093</v>
      </c>
      <c r="H104" s="18">
        <v>45853</v>
      </c>
      <c r="I104" s="69"/>
      <c r="J104" s="16">
        <v>61286</v>
      </c>
      <c r="K104" s="13">
        <v>104256</v>
      </c>
    </row>
    <row r="105" spans="1:257">
      <c r="A105" s="17">
        <v>366</v>
      </c>
      <c r="B105" s="18">
        <v>44392</v>
      </c>
      <c r="C105" s="94" t="s">
        <v>130</v>
      </c>
      <c r="D105" s="95">
        <v>44363</v>
      </c>
      <c r="E105" s="21" t="s">
        <v>129</v>
      </c>
      <c r="F105" s="21">
        <v>651.23</v>
      </c>
      <c r="G105" s="96">
        <v>45093</v>
      </c>
      <c r="H105" s="18">
        <v>45853</v>
      </c>
      <c r="I105" s="69"/>
      <c r="J105" s="16">
        <v>2522</v>
      </c>
      <c r="K105" s="13">
        <v>22862</v>
      </c>
    </row>
    <row r="106" spans="1:257">
      <c r="A106" s="97">
        <v>364</v>
      </c>
      <c r="B106" s="38">
        <v>44400</v>
      </c>
      <c r="C106" s="71" t="s">
        <v>131</v>
      </c>
      <c r="D106" s="36">
        <v>44363</v>
      </c>
      <c r="E106" s="34" t="s">
        <v>129</v>
      </c>
      <c r="F106" s="34">
        <v>651.23</v>
      </c>
      <c r="G106" s="38">
        <v>45093</v>
      </c>
      <c r="H106" s="38">
        <v>45853</v>
      </c>
      <c r="I106" s="98"/>
      <c r="J106" s="99"/>
      <c r="K106" s="100" t="e">
        <f>LARGE((#REF!,#REF!,#REF!,#REF!,#REF!,#REF!,#REF!,#REF!,#REF!,#REF!,#REF!,#REF!),1)</f>
        <v>#REF!</v>
      </c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  <c r="CU106" s="101"/>
      <c r="CV106" s="101"/>
      <c r="CW106" s="101"/>
      <c r="CX106" s="101"/>
      <c r="CY106" s="101"/>
      <c r="CZ106" s="101"/>
      <c r="DA106" s="101"/>
      <c r="DB106" s="101"/>
      <c r="DC106" s="101"/>
      <c r="DD106" s="101"/>
      <c r="DE106" s="101"/>
      <c r="DF106" s="101"/>
      <c r="DG106" s="101"/>
      <c r="DH106" s="101"/>
      <c r="DI106" s="101"/>
      <c r="DJ106" s="101"/>
      <c r="DK106" s="101"/>
      <c r="DL106" s="101"/>
      <c r="DM106" s="101"/>
      <c r="DN106" s="101"/>
      <c r="DO106" s="101"/>
      <c r="DP106" s="101"/>
      <c r="DQ106" s="101"/>
      <c r="DR106" s="101"/>
      <c r="DS106" s="101"/>
      <c r="DT106" s="101"/>
      <c r="DU106" s="101"/>
      <c r="DV106" s="101"/>
      <c r="DW106" s="101"/>
      <c r="DX106" s="101"/>
      <c r="DY106" s="101"/>
      <c r="DZ106" s="101"/>
      <c r="EA106" s="101"/>
      <c r="EB106" s="101"/>
      <c r="EC106" s="101"/>
      <c r="ED106" s="101"/>
      <c r="EE106" s="101"/>
      <c r="EF106" s="101"/>
      <c r="EG106" s="101"/>
      <c r="EH106" s="101"/>
      <c r="EI106" s="101"/>
      <c r="EJ106" s="101"/>
      <c r="EK106" s="101"/>
      <c r="EL106" s="101"/>
      <c r="EM106" s="101"/>
      <c r="EN106" s="101"/>
      <c r="EO106" s="101"/>
      <c r="EP106" s="101"/>
      <c r="EQ106" s="101"/>
      <c r="ER106" s="101"/>
      <c r="ES106" s="101"/>
      <c r="ET106" s="101"/>
      <c r="EU106" s="101"/>
      <c r="EV106" s="101"/>
      <c r="EW106" s="101"/>
      <c r="EX106" s="101"/>
      <c r="EY106" s="101"/>
      <c r="EZ106" s="101"/>
      <c r="FA106" s="101"/>
      <c r="FB106" s="101"/>
      <c r="FC106" s="101"/>
      <c r="FD106" s="101"/>
      <c r="FE106" s="101"/>
      <c r="FF106" s="101"/>
      <c r="FG106" s="101"/>
      <c r="FH106" s="101"/>
      <c r="FI106" s="101"/>
      <c r="FJ106" s="101"/>
      <c r="FK106" s="101"/>
      <c r="FL106" s="101"/>
      <c r="FM106" s="101"/>
      <c r="FN106" s="101"/>
      <c r="FO106" s="101"/>
      <c r="FP106" s="101"/>
      <c r="FQ106" s="101"/>
      <c r="FR106" s="101"/>
      <c r="FS106" s="101"/>
      <c r="FT106" s="101"/>
      <c r="FU106" s="101"/>
      <c r="FV106" s="101"/>
      <c r="FW106" s="101"/>
      <c r="FX106" s="101"/>
      <c r="FY106" s="101"/>
      <c r="FZ106" s="101"/>
      <c r="GA106" s="101"/>
      <c r="GB106" s="101"/>
      <c r="GC106" s="101"/>
      <c r="GD106" s="101"/>
      <c r="GE106" s="101"/>
      <c r="GF106" s="101"/>
      <c r="GG106" s="101"/>
      <c r="GH106" s="101"/>
      <c r="GI106" s="101"/>
      <c r="GJ106" s="101"/>
      <c r="GK106" s="101"/>
      <c r="GL106" s="101"/>
      <c r="GM106" s="101"/>
      <c r="GN106" s="101"/>
      <c r="GO106" s="101"/>
      <c r="GP106" s="101"/>
      <c r="GQ106" s="101"/>
      <c r="GR106" s="101"/>
      <c r="GS106" s="101"/>
      <c r="GT106" s="101"/>
      <c r="GU106" s="101"/>
      <c r="GV106" s="101"/>
      <c r="GW106" s="101"/>
      <c r="GX106" s="101"/>
      <c r="GY106" s="101"/>
      <c r="GZ106" s="101"/>
      <c r="HA106" s="101"/>
      <c r="HB106" s="101"/>
      <c r="HC106" s="101"/>
      <c r="HD106" s="101"/>
      <c r="HE106" s="101"/>
      <c r="HF106" s="101"/>
      <c r="HG106" s="101"/>
      <c r="HH106" s="101"/>
      <c r="HI106" s="101"/>
      <c r="HJ106" s="101"/>
      <c r="HK106" s="101"/>
      <c r="HL106" s="101"/>
      <c r="HM106" s="101"/>
      <c r="HN106" s="101"/>
      <c r="HO106" s="101"/>
      <c r="HP106" s="101"/>
      <c r="HQ106" s="101"/>
      <c r="HR106" s="101"/>
      <c r="HS106" s="101"/>
      <c r="HT106" s="101"/>
      <c r="HU106" s="101"/>
      <c r="HV106" s="101"/>
      <c r="HW106" s="101"/>
      <c r="HX106" s="101"/>
      <c r="HY106" s="101"/>
      <c r="HZ106" s="101"/>
      <c r="IA106" s="101"/>
      <c r="IB106" s="101"/>
      <c r="IC106" s="101"/>
      <c r="ID106" s="101"/>
      <c r="IE106" s="101"/>
      <c r="IF106" s="101"/>
      <c r="IG106" s="101"/>
      <c r="IH106" s="101"/>
      <c r="II106" s="101"/>
      <c r="IJ106" s="101"/>
      <c r="IK106" s="101"/>
      <c r="IL106" s="101"/>
      <c r="IM106" s="101"/>
      <c r="IN106" s="101"/>
      <c r="IO106" s="101"/>
      <c r="IP106" s="101"/>
      <c r="IQ106" s="101"/>
      <c r="IR106" s="101"/>
      <c r="IS106" s="101"/>
      <c r="IT106" s="101"/>
      <c r="IU106" s="101"/>
      <c r="IV106" s="101"/>
      <c r="IW106" s="101"/>
    </row>
    <row r="107" spans="1:257">
      <c r="B107" s="50"/>
      <c r="D107" s="102"/>
      <c r="F107" s="103"/>
      <c r="G107" s="50"/>
      <c r="I107" s="104"/>
      <c r="J107" s="105"/>
      <c r="K107" s="104"/>
    </row>
    <row r="108" spans="1:257">
      <c r="B108" s="50"/>
      <c r="D108" s="102"/>
      <c r="F108" s="103"/>
      <c r="G108" s="50"/>
      <c r="I108" s="104"/>
      <c r="J108" s="105"/>
      <c r="K108" s="104"/>
    </row>
    <row r="109" spans="1:257">
      <c r="B109" s="50"/>
      <c r="D109" s="102"/>
      <c r="F109" s="103"/>
      <c r="G109" s="50"/>
      <c r="I109" s="104"/>
      <c r="J109" s="105"/>
      <c r="K109" s="104"/>
    </row>
    <row r="110" spans="1:257">
      <c r="B110" s="50"/>
      <c r="D110" s="102"/>
      <c r="F110" s="103"/>
      <c r="G110" s="50"/>
      <c r="I110" s="104"/>
      <c r="J110" s="105"/>
      <c r="K110" s="104"/>
    </row>
    <row r="111" spans="1:257">
      <c r="B111" s="50"/>
      <c r="D111" s="102"/>
      <c r="F111" s="103"/>
      <c r="G111" s="50"/>
      <c r="I111" s="104"/>
      <c r="J111" s="105"/>
      <c r="K111" s="104"/>
    </row>
    <row r="112" spans="1:257">
      <c r="B112" s="50"/>
      <c r="D112" s="102"/>
      <c r="F112" s="103"/>
      <c r="G112" s="50"/>
      <c r="I112" s="104"/>
      <c r="J112" s="105"/>
      <c r="K112" s="104"/>
    </row>
    <row r="113" spans="2:11">
      <c r="B113" s="50"/>
      <c r="D113" s="102"/>
      <c r="F113" s="103"/>
      <c r="G113" s="50"/>
      <c r="I113" s="104"/>
      <c r="J113" s="105"/>
      <c r="K113" s="104"/>
    </row>
    <row r="114" spans="2:11">
      <c r="B114" s="50"/>
      <c r="D114" s="102"/>
      <c r="F114" s="103"/>
      <c r="G114" s="50"/>
      <c r="I114" s="104"/>
      <c r="J114" s="105"/>
      <c r="K114" s="104"/>
    </row>
    <row r="115" spans="2:11">
      <c r="B115" s="50"/>
      <c r="D115" s="102"/>
      <c r="F115" s="103"/>
      <c r="G115" s="50"/>
      <c r="I115" s="104"/>
      <c r="J115" s="105"/>
      <c r="K115" s="104"/>
    </row>
    <row r="116" spans="2:11">
      <c r="B116" s="50"/>
      <c r="D116" s="102"/>
      <c r="F116" s="103"/>
      <c r="G116" s="50"/>
      <c r="I116" s="104"/>
      <c r="J116" s="105"/>
      <c r="K116" s="104"/>
    </row>
    <row r="117" spans="2:11">
      <c r="B117" s="50"/>
      <c r="D117" s="102"/>
      <c r="F117" s="103"/>
      <c r="G117" s="50"/>
      <c r="I117" s="104"/>
      <c r="J117" s="105"/>
      <c r="K117" s="104"/>
    </row>
    <row r="118" spans="2:11">
      <c r="B118" s="50"/>
      <c r="D118" s="102"/>
      <c r="F118" s="103"/>
      <c r="G118" s="50"/>
      <c r="I118" s="104"/>
      <c r="J118" s="105"/>
      <c r="K118" s="104"/>
    </row>
    <row r="119" spans="2:11">
      <c r="B119" s="50"/>
      <c r="D119" s="102"/>
      <c r="F119" s="103"/>
      <c r="G119" s="50"/>
      <c r="I119" s="104"/>
      <c r="J119" s="105"/>
      <c r="K119" s="104"/>
    </row>
    <row r="120" spans="2:11">
      <c r="B120" s="50"/>
      <c r="D120" s="102"/>
      <c r="F120" s="103"/>
      <c r="G120" s="50"/>
      <c r="I120" s="104"/>
      <c r="J120" s="105"/>
      <c r="K120" s="104"/>
    </row>
    <row r="121" spans="2:11">
      <c r="B121" s="50"/>
      <c r="D121" s="102"/>
      <c r="F121" s="103"/>
      <c r="G121" s="50"/>
      <c r="I121" s="104"/>
      <c r="J121" s="105"/>
      <c r="K121" s="104"/>
    </row>
    <row r="122" spans="2:11">
      <c r="B122" s="50"/>
      <c r="D122" s="102"/>
      <c r="F122" s="103"/>
      <c r="G122" s="50"/>
      <c r="I122" s="104"/>
      <c r="J122" s="105"/>
      <c r="K122" s="104"/>
    </row>
    <row r="123" spans="2:11">
      <c r="B123" s="50"/>
      <c r="D123" s="102"/>
      <c r="F123" s="103"/>
      <c r="G123" s="50"/>
      <c r="I123" s="104"/>
      <c r="J123" s="105"/>
      <c r="K123" s="104"/>
    </row>
    <row r="124" spans="2:11">
      <c r="B124" s="50"/>
      <c r="D124" s="102"/>
      <c r="F124" s="103"/>
      <c r="G124" s="50"/>
      <c r="I124" s="104"/>
      <c r="J124" s="105"/>
      <c r="K124" s="104"/>
    </row>
    <row r="125" spans="2:11">
      <c r="B125" s="50"/>
      <c r="D125" s="102"/>
      <c r="F125" s="103"/>
      <c r="G125" s="50"/>
      <c r="I125" s="104"/>
      <c r="J125" s="105"/>
      <c r="K125" s="104"/>
    </row>
    <row r="126" spans="2:11">
      <c r="B126" s="50"/>
      <c r="D126" s="102"/>
      <c r="F126" s="103"/>
      <c r="G126" s="50"/>
      <c r="I126" s="104"/>
      <c r="J126" s="105"/>
      <c r="K126" s="104"/>
    </row>
    <row r="127" spans="2:11">
      <c r="B127" s="50"/>
      <c r="D127" s="102"/>
      <c r="F127" s="103"/>
      <c r="G127" s="50"/>
      <c r="I127" s="104"/>
      <c r="J127" s="105"/>
      <c r="K127" s="104"/>
    </row>
    <row r="128" spans="2:11">
      <c r="B128" s="50"/>
      <c r="D128" s="102"/>
      <c r="F128" s="103"/>
      <c r="G128" s="50"/>
      <c r="I128" s="104"/>
      <c r="J128" s="105"/>
      <c r="K128" s="104"/>
    </row>
    <row r="129" spans="2:11">
      <c r="B129" s="50"/>
      <c r="D129" s="102"/>
      <c r="F129" s="103"/>
      <c r="G129" s="50"/>
      <c r="I129" s="104"/>
      <c r="J129" s="105"/>
      <c r="K129" s="104"/>
    </row>
    <row r="130" spans="2:11">
      <c r="B130" s="50"/>
      <c r="D130" s="102"/>
      <c r="F130" s="103"/>
      <c r="G130" s="50"/>
      <c r="I130" s="104"/>
      <c r="J130" s="105"/>
      <c r="K130" s="104"/>
    </row>
    <row r="131" spans="2:11">
      <c r="B131" s="50"/>
      <c r="D131" s="102"/>
      <c r="F131" s="103"/>
      <c r="G131" s="50"/>
      <c r="I131" s="104"/>
      <c r="J131" s="105"/>
      <c r="K131" s="104"/>
    </row>
    <row r="132" spans="2:11">
      <c r="B132" s="50"/>
      <c r="D132" s="102"/>
      <c r="F132" s="103"/>
      <c r="G132" s="50"/>
      <c r="I132" s="104"/>
      <c r="J132" s="105"/>
      <c r="K132" s="104"/>
    </row>
    <row r="133" spans="2:11">
      <c r="B133" s="50"/>
      <c r="D133" s="102"/>
      <c r="F133" s="103"/>
      <c r="G133" s="50"/>
      <c r="I133" s="104"/>
      <c r="J133" s="105"/>
      <c r="K133" s="104"/>
    </row>
    <row r="134" spans="2:11">
      <c r="B134" s="50"/>
      <c r="D134" s="102"/>
      <c r="F134" s="103"/>
      <c r="G134" s="50"/>
      <c r="I134" s="104"/>
      <c r="J134" s="105"/>
      <c r="K134" s="104"/>
    </row>
    <row r="135" spans="2:11">
      <c r="B135" s="50"/>
      <c r="D135" s="102"/>
      <c r="F135" s="103"/>
      <c r="G135" s="50"/>
      <c r="I135" s="104"/>
      <c r="J135" s="105"/>
      <c r="K135" s="104"/>
    </row>
    <row r="136" spans="2:11">
      <c r="B136" s="50"/>
      <c r="D136" s="102"/>
      <c r="F136" s="103"/>
      <c r="G136" s="50"/>
      <c r="I136" s="104"/>
      <c r="J136" s="105"/>
      <c r="K136" s="104"/>
    </row>
    <row r="137" spans="2:11">
      <c r="B137" s="50"/>
      <c r="D137" s="102"/>
      <c r="F137" s="103"/>
      <c r="G137" s="50"/>
      <c r="I137" s="104"/>
      <c r="J137" s="105"/>
      <c r="K137" s="104"/>
    </row>
    <row r="138" spans="2:11">
      <c r="B138" s="50"/>
      <c r="D138" s="102"/>
      <c r="F138" s="103"/>
      <c r="G138" s="50"/>
      <c r="I138" s="104"/>
      <c r="J138" s="105"/>
      <c r="K138" s="104"/>
    </row>
    <row r="139" spans="2:11">
      <c r="B139" s="50"/>
      <c r="D139" s="102"/>
      <c r="F139" s="103"/>
      <c r="G139" s="50"/>
      <c r="I139" s="104"/>
      <c r="J139" s="105"/>
      <c r="K139" s="104"/>
    </row>
    <row r="140" spans="2:11">
      <c r="B140" s="50"/>
      <c r="D140" s="102"/>
      <c r="F140" s="103"/>
      <c r="G140" s="50"/>
      <c r="I140" s="104"/>
      <c r="J140" s="105"/>
      <c r="K140" s="104"/>
    </row>
    <row r="141" spans="2:11">
      <c r="B141" s="50"/>
      <c r="D141" s="102"/>
      <c r="F141" s="103"/>
      <c r="G141" s="50"/>
      <c r="I141" s="104"/>
      <c r="J141" s="105"/>
      <c r="K141" s="104"/>
    </row>
    <row r="142" spans="2:11">
      <c r="B142" s="50"/>
      <c r="D142" s="102"/>
      <c r="F142" s="103"/>
      <c r="G142" s="50"/>
      <c r="I142" s="104"/>
      <c r="J142" s="105"/>
      <c r="K142" s="104"/>
    </row>
    <row r="143" spans="2:11">
      <c r="B143" s="50"/>
      <c r="D143" s="102"/>
      <c r="F143" s="103"/>
      <c r="G143" s="50"/>
      <c r="I143" s="104"/>
      <c r="J143" s="105"/>
      <c r="K143" s="104"/>
    </row>
    <row r="144" spans="2:11">
      <c r="B144" s="50"/>
      <c r="D144" s="102"/>
      <c r="F144" s="103"/>
      <c r="G144" s="50"/>
      <c r="I144" s="104"/>
      <c r="J144" s="105"/>
      <c r="K144" s="104"/>
    </row>
    <row r="145" spans="2:11">
      <c r="B145" s="50"/>
      <c r="D145" s="102"/>
      <c r="F145" s="103"/>
      <c r="G145" s="50"/>
      <c r="I145" s="104"/>
      <c r="J145" s="105"/>
      <c r="K145" s="104"/>
    </row>
    <row r="146" spans="2:11">
      <c r="B146" s="50"/>
      <c r="D146" s="102"/>
      <c r="F146" s="103"/>
      <c r="G146" s="50"/>
      <c r="I146" s="104"/>
      <c r="J146" s="105"/>
      <c r="K146" s="104"/>
    </row>
    <row r="147" spans="2:11">
      <c r="B147" s="50"/>
      <c r="D147" s="102"/>
      <c r="G147" s="50"/>
      <c r="I147" s="104"/>
      <c r="J147" s="105"/>
      <c r="K147" s="104"/>
    </row>
    <row r="148" spans="2:11">
      <c r="B148" s="50"/>
      <c r="D148" s="102"/>
      <c r="G148" s="50"/>
      <c r="I148" s="104"/>
      <c r="J148" s="105"/>
      <c r="K148" s="104"/>
    </row>
    <row r="149" spans="2:11">
      <c r="B149" s="50"/>
      <c r="D149" s="102"/>
      <c r="G149" s="50"/>
      <c r="I149" s="104"/>
      <c r="J149" s="105"/>
      <c r="K149" s="104"/>
    </row>
    <row r="150" spans="2:11">
      <c r="B150" s="50"/>
      <c r="D150" s="102"/>
      <c r="G150" s="50"/>
      <c r="I150" s="104"/>
      <c r="J150" s="105"/>
      <c r="K150" s="104"/>
    </row>
    <row r="151" spans="2:11">
      <c r="B151" s="50"/>
      <c r="D151" s="102"/>
      <c r="G151" s="50"/>
      <c r="I151" s="104"/>
      <c r="J151" s="105"/>
      <c r="K151" s="104"/>
    </row>
    <row r="152" spans="2:11">
      <c r="B152" s="50"/>
      <c r="D152" s="102"/>
      <c r="G152" s="50"/>
      <c r="I152" s="104"/>
      <c r="J152" s="105"/>
      <c r="K152" s="104"/>
    </row>
    <row r="153" spans="2:11">
      <c r="B153" s="50"/>
      <c r="D153" s="102"/>
      <c r="G153" s="50"/>
      <c r="I153" s="104"/>
      <c r="J153" s="105"/>
      <c r="K153" s="104"/>
    </row>
    <row r="154" spans="2:11">
      <c r="B154" s="50"/>
      <c r="D154" s="102"/>
      <c r="G154" s="50"/>
      <c r="I154" s="104"/>
      <c r="J154" s="105"/>
      <c r="K154" s="104"/>
    </row>
    <row r="155" spans="2:11">
      <c r="B155" s="50"/>
      <c r="D155" s="102"/>
      <c r="G155" s="50"/>
      <c r="I155" s="104"/>
      <c r="J155" s="105"/>
      <c r="K155" s="104"/>
    </row>
    <row r="156" spans="2:11">
      <c r="B156" s="50"/>
      <c r="D156" s="102"/>
      <c r="G156" s="50"/>
      <c r="I156" s="104"/>
      <c r="J156" s="105"/>
      <c r="K156" s="104"/>
    </row>
    <row r="157" spans="2:11">
      <c r="B157" s="50"/>
      <c r="D157" s="102"/>
      <c r="G157" s="50"/>
      <c r="I157" s="104"/>
      <c r="J157" s="105"/>
      <c r="K157" s="104"/>
    </row>
    <row r="158" spans="2:11">
      <c r="B158" s="50"/>
      <c r="D158" s="102"/>
      <c r="G158" s="50"/>
      <c r="I158" s="104"/>
      <c r="J158" s="105"/>
      <c r="K158" s="104"/>
    </row>
    <row r="159" spans="2:11">
      <c r="B159" s="50"/>
      <c r="D159" s="102"/>
      <c r="G159" s="50"/>
      <c r="I159" s="104"/>
      <c r="J159" s="105"/>
      <c r="K159" s="104"/>
    </row>
    <row r="160" spans="2:11">
      <c r="B160" s="50"/>
      <c r="D160" s="102"/>
      <c r="G160" s="50"/>
      <c r="I160" s="104"/>
      <c r="J160" s="105"/>
      <c r="K160" s="104"/>
    </row>
    <row r="161" spans="2:11">
      <c r="B161" s="50"/>
      <c r="D161" s="102"/>
      <c r="G161" s="50"/>
      <c r="I161" s="104"/>
      <c r="J161" s="105"/>
      <c r="K161" s="104"/>
    </row>
    <row r="162" spans="2:11">
      <c r="B162" s="50"/>
      <c r="D162" s="102"/>
      <c r="G162" s="50"/>
      <c r="I162" s="104"/>
      <c r="J162" s="105"/>
      <c r="K162" s="104"/>
    </row>
    <row r="163" spans="2:11">
      <c r="B163" s="50"/>
      <c r="D163" s="102"/>
      <c r="G163" s="50"/>
      <c r="I163" s="104"/>
      <c r="J163" s="105"/>
      <c r="K163" s="104"/>
    </row>
    <row r="164" spans="2:11">
      <c r="B164" s="50"/>
      <c r="D164" s="102"/>
      <c r="G164" s="50"/>
      <c r="I164" s="104"/>
      <c r="J164" s="105"/>
      <c r="K164" s="104"/>
    </row>
    <row r="165" spans="2:11">
      <c r="B165" s="50"/>
      <c r="D165" s="102"/>
      <c r="G165" s="50"/>
      <c r="I165" s="104"/>
      <c r="J165" s="105"/>
      <c r="K165" s="104"/>
    </row>
    <row r="166" spans="2:11">
      <c r="B166" s="50"/>
      <c r="D166" s="102"/>
      <c r="G166" s="50"/>
      <c r="I166" s="104"/>
      <c r="J166" s="105"/>
      <c r="K166" s="104"/>
    </row>
    <row r="167" spans="2:11">
      <c r="B167" s="50"/>
      <c r="D167" s="102"/>
      <c r="G167" s="50"/>
      <c r="I167" s="104"/>
      <c r="J167" s="105"/>
      <c r="K167" s="104"/>
    </row>
    <row r="168" spans="2:11">
      <c r="B168" s="50"/>
      <c r="D168" s="102"/>
      <c r="G168" s="50"/>
      <c r="I168" s="104"/>
      <c r="J168" s="105"/>
      <c r="K168" s="104"/>
    </row>
    <row r="169" spans="2:11">
      <c r="B169" s="50"/>
      <c r="D169" s="102"/>
      <c r="G169" s="50"/>
      <c r="I169" s="104"/>
      <c r="J169" s="105"/>
      <c r="K169" s="104"/>
    </row>
    <row r="170" spans="2:11">
      <c r="B170" s="50"/>
      <c r="D170" s="102"/>
      <c r="G170" s="50"/>
      <c r="I170" s="104"/>
      <c r="J170" s="105"/>
      <c r="K170" s="104"/>
    </row>
    <row r="171" spans="2:11">
      <c r="B171" s="50"/>
      <c r="D171" s="102"/>
      <c r="G171" s="50"/>
      <c r="I171" s="104"/>
      <c r="J171" s="105"/>
      <c r="K171" s="104"/>
    </row>
    <row r="172" spans="2:11">
      <c r="B172" s="50"/>
      <c r="D172" s="102"/>
      <c r="G172" s="50"/>
      <c r="I172" s="104"/>
      <c r="J172" s="105"/>
      <c r="K172" s="104"/>
    </row>
    <row r="173" spans="2:11">
      <c r="B173" s="50"/>
      <c r="D173" s="102"/>
      <c r="G173" s="50"/>
      <c r="I173" s="104"/>
      <c r="J173" s="105"/>
      <c r="K173" s="104"/>
    </row>
    <row r="174" spans="2:11">
      <c r="B174" s="50"/>
      <c r="D174" s="102"/>
      <c r="G174" s="50"/>
      <c r="I174" s="104"/>
      <c r="J174" s="105"/>
      <c r="K174" s="104"/>
    </row>
    <row r="175" spans="2:11">
      <c r="B175" s="50"/>
      <c r="D175" s="102"/>
      <c r="G175" s="50"/>
      <c r="I175" s="104"/>
      <c r="J175" s="105"/>
      <c r="K175" s="104"/>
    </row>
    <row r="176" spans="2:11">
      <c r="B176" s="50"/>
      <c r="D176" s="102"/>
      <c r="G176" s="50"/>
      <c r="I176" s="104"/>
      <c r="J176" s="105"/>
      <c r="K176" s="104"/>
    </row>
    <row r="177" spans="2:11">
      <c r="B177" s="50"/>
      <c r="D177" s="102"/>
      <c r="G177" s="50"/>
      <c r="I177" s="104"/>
      <c r="J177" s="105"/>
      <c r="K177" s="104"/>
    </row>
    <row r="178" spans="2:11">
      <c r="B178" s="50"/>
      <c r="D178" s="102"/>
      <c r="G178" s="50"/>
      <c r="I178" s="104"/>
      <c r="J178" s="105"/>
      <c r="K178" s="104"/>
    </row>
    <row r="179" spans="2:11">
      <c r="B179" s="50"/>
      <c r="D179" s="102"/>
      <c r="G179" s="50"/>
      <c r="I179" s="104"/>
      <c r="J179" s="105"/>
      <c r="K179" s="104"/>
    </row>
    <row r="180" spans="2:11">
      <c r="B180" s="50"/>
      <c r="D180" s="102"/>
      <c r="G180" s="50"/>
      <c r="I180" s="104"/>
      <c r="J180" s="105"/>
      <c r="K180" s="104"/>
    </row>
    <row r="181" spans="2:11">
      <c r="B181" s="50"/>
      <c r="D181" s="102"/>
      <c r="G181" s="50"/>
      <c r="I181" s="104"/>
      <c r="J181" s="105"/>
      <c r="K181" s="104"/>
    </row>
    <row r="182" spans="2:11">
      <c r="B182" s="50"/>
      <c r="D182" s="102"/>
      <c r="G182" s="50"/>
      <c r="I182" s="104"/>
      <c r="J182" s="105"/>
      <c r="K182" s="104"/>
    </row>
    <row r="183" spans="2:11">
      <c r="B183" s="50"/>
      <c r="D183" s="102"/>
      <c r="G183" s="50"/>
      <c r="I183" s="104"/>
      <c r="J183" s="105"/>
      <c r="K183" s="104"/>
    </row>
    <row r="184" spans="2:11">
      <c r="B184" s="50"/>
      <c r="D184" s="102"/>
      <c r="G184" s="50"/>
      <c r="I184" s="104"/>
      <c r="J184" s="105"/>
      <c r="K184" s="104"/>
    </row>
    <row r="185" spans="2:11">
      <c r="B185" s="50"/>
      <c r="D185" s="102"/>
      <c r="G185" s="50"/>
      <c r="I185" s="104"/>
      <c r="J185" s="105"/>
      <c r="K185" s="104"/>
    </row>
    <row r="186" spans="2:11">
      <c r="B186" s="50"/>
      <c r="D186" s="102"/>
      <c r="G186" s="50"/>
      <c r="I186" s="104"/>
      <c r="J186" s="105"/>
      <c r="K186" s="104"/>
    </row>
    <row r="187" spans="2:11">
      <c r="B187" s="50"/>
      <c r="D187" s="102"/>
      <c r="G187" s="50"/>
      <c r="I187" s="104"/>
      <c r="J187" s="105"/>
      <c r="K187" s="104"/>
    </row>
    <row r="188" spans="2:11">
      <c r="B188" s="50"/>
      <c r="D188" s="102"/>
      <c r="G188" s="50"/>
      <c r="I188" s="104"/>
      <c r="J188" s="105"/>
      <c r="K188" s="104"/>
    </row>
    <row r="189" spans="2:11">
      <c r="B189" s="50"/>
      <c r="D189" s="102"/>
      <c r="G189" s="50"/>
      <c r="I189" s="104"/>
      <c r="J189" s="105"/>
      <c r="K189" s="104"/>
    </row>
    <row r="190" spans="2:11">
      <c r="B190" s="50"/>
      <c r="D190" s="102"/>
      <c r="G190" s="50"/>
      <c r="I190" s="104"/>
      <c r="J190" s="105"/>
      <c r="K190" s="104"/>
    </row>
    <row r="191" spans="2:11">
      <c r="B191" s="50"/>
      <c r="D191" s="102"/>
      <c r="G191" s="50"/>
      <c r="I191" s="104"/>
      <c r="J191" s="105"/>
      <c r="K191" s="104"/>
    </row>
    <row r="192" spans="2:11">
      <c r="B192" s="50"/>
      <c r="D192" s="102"/>
      <c r="G192" s="50"/>
      <c r="I192" s="104"/>
      <c r="J192" s="105"/>
      <c r="K192" s="104"/>
    </row>
    <row r="193" spans="2:11">
      <c r="B193" s="50"/>
      <c r="D193" s="102"/>
      <c r="G193" s="50"/>
      <c r="I193" s="104"/>
      <c r="J193" s="105"/>
      <c r="K193" s="104"/>
    </row>
    <row r="194" spans="2:11">
      <c r="B194" s="50"/>
      <c r="D194" s="102"/>
      <c r="G194" s="50"/>
      <c r="I194" s="104"/>
      <c r="J194" s="105"/>
      <c r="K194" s="104"/>
    </row>
    <row r="195" spans="2:11">
      <c r="B195" s="50"/>
      <c r="D195" s="102"/>
      <c r="G195" s="50"/>
      <c r="I195" s="104"/>
      <c r="J195" s="105"/>
      <c r="K195" s="104"/>
    </row>
    <row r="196" spans="2:11">
      <c r="B196" s="50"/>
      <c r="D196" s="102"/>
      <c r="G196" s="50"/>
      <c r="I196" s="104"/>
      <c r="J196" s="105"/>
      <c r="K196" s="104"/>
    </row>
    <row r="197" spans="2:11">
      <c r="B197" s="50"/>
      <c r="D197" s="102"/>
      <c r="G197" s="50"/>
      <c r="I197" s="104"/>
      <c r="J197" s="105"/>
      <c r="K197" s="104"/>
    </row>
    <row r="198" spans="2:11">
      <c r="B198" s="50"/>
      <c r="D198" s="102"/>
      <c r="G198" s="50"/>
      <c r="I198" s="104"/>
      <c r="J198" s="105"/>
      <c r="K198" s="104"/>
    </row>
    <row r="199" spans="2:11">
      <c r="B199" s="50"/>
      <c r="D199" s="102"/>
      <c r="G199" s="50"/>
      <c r="J199" s="106"/>
    </row>
    <row r="200" spans="2:11">
      <c r="B200" s="50"/>
      <c r="D200" s="102"/>
      <c r="G200" s="50"/>
      <c r="J200" s="107"/>
    </row>
    <row r="201" spans="2:11">
      <c r="B201" s="50"/>
      <c r="D201" s="102"/>
      <c r="G201" s="50"/>
      <c r="J201" s="107"/>
    </row>
    <row r="202" spans="2:11">
      <c r="B202" s="50"/>
      <c r="D202" s="102"/>
      <c r="G202" s="50"/>
      <c r="J202" s="107"/>
    </row>
    <row r="203" spans="2:11">
      <c r="B203" s="50"/>
      <c r="D203" s="102"/>
      <c r="G203" s="50"/>
      <c r="J203" s="107"/>
    </row>
    <row r="204" spans="2:11">
      <c r="B204" s="50"/>
      <c r="D204" s="102"/>
      <c r="G204" s="50"/>
      <c r="J204" s="107"/>
    </row>
    <row r="205" spans="2:11">
      <c r="B205" s="50"/>
      <c r="D205" s="102"/>
      <c r="G205" s="50"/>
      <c r="J205" s="107"/>
    </row>
    <row r="206" spans="2:11">
      <c r="B206" s="50"/>
      <c r="D206" s="102"/>
      <c r="G206" s="50"/>
      <c r="J206" s="107"/>
    </row>
    <row r="207" spans="2:11">
      <c r="B207" s="50"/>
      <c r="D207" s="102"/>
      <c r="G207" s="50"/>
      <c r="J207" s="107"/>
    </row>
    <row r="208" spans="2:11">
      <c r="B208" s="50"/>
      <c r="D208" s="102"/>
      <c r="G208" s="50"/>
      <c r="J208" s="107"/>
    </row>
    <row r="209" spans="2:10">
      <c r="B209" s="50"/>
      <c r="D209" s="102"/>
      <c r="G209" s="50"/>
      <c r="J209" s="107"/>
    </row>
    <row r="210" spans="2:10">
      <c r="B210" s="50"/>
      <c r="D210" s="102"/>
      <c r="G210" s="50"/>
      <c r="J210" s="107"/>
    </row>
    <row r="211" spans="2:10">
      <c r="B211" s="50"/>
      <c r="D211" s="102"/>
      <c r="G211" s="50"/>
      <c r="J211" s="107"/>
    </row>
    <row r="212" spans="2:10">
      <c r="B212" s="50"/>
      <c r="D212" s="102"/>
      <c r="G212" s="50"/>
      <c r="J212" s="107"/>
    </row>
    <row r="213" spans="2:10">
      <c r="B213" s="50"/>
      <c r="D213" s="102"/>
      <c r="G213" s="50"/>
      <c r="J213" s="107"/>
    </row>
    <row r="214" spans="2:10">
      <c r="B214" s="50"/>
      <c r="D214" s="102"/>
      <c r="G214" s="50"/>
      <c r="J214" s="107"/>
    </row>
    <row r="215" spans="2:10">
      <c r="B215" s="50"/>
      <c r="D215" s="102"/>
      <c r="G215" s="50"/>
      <c r="J215" s="107"/>
    </row>
    <row r="216" spans="2:10">
      <c r="B216" s="50"/>
      <c r="D216" s="102"/>
      <c r="G216" s="50"/>
      <c r="J216" s="107"/>
    </row>
    <row r="217" spans="2:10">
      <c r="B217" s="50"/>
      <c r="D217" s="102"/>
      <c r="G217" s="50"/>
      <c r="J217" s="107"/>
    </row>
    <row r="218" spans="2:10">
      <c r="B218" s="50"/>
      <c r="D218" s="102"/>
      <c r="G218" s="50"/>
      <c r="J218" s="107"/>
    </row>
    <row r="219" spans="2:10">
      <c r="B219" s="50"/>
      <c r="D219" s="102"/>
      <c r="G219" s="50"/>
      <c r="J219" s="107"/>
    </row>
    <row r="220" spans="2:10">
      <c r="B220" s="50"/>
      <c r="D220" s="102"/>
      <c r="G220" s="50"/>
      <c r="J220" s="107"/>
    </row>
    <row r="221" spans="2:10">
      <c r="B221" s="50"/>
      <c r="D221" s="102"/>
      <c r="G221" s="50"/>
      <c r="J221" s="107"/>
    </row>
    <row r="222" spans="2:10">
      <c r="B222" s="50"/>
      <c r="D222" s="102"/>
      <c r="G222" s="50"/>
      <c r="J222" s="107"/>
    </row>
    <row r="223" spans="2:10">
      <c r="B223" s="50"/>
      <c r="D223" s="102"/>
      <c r="G223" s="50"/>
      <c r="J223" s="107"/>
    </row>
    <row r="224" spans="2:10">
      <c r="B224" s="50"/>
      <c r="D224" s="102"/>
      <c r="G224" s="50"/>
      <c r="J224" s="107"/>
    </row>
    <row r="225" spans="2:10">
      <c r="B225" s="50"/>
      <c r="D225" s="102"/>
      <c r="G225" s="50"/>
      <c r="J225" s="107"/>
    </row>
    <row r="226" spans="2:10">
      <c r="B226" s="50"/>
      <c r="D226" s="102"/>
      <c r="G226" s="50"/>
      <c r="J226" s="107"/>
    </row>
    <row r="227" spans="2:10">
      <c r="B227" s="50"/>
      <c r="D227" s="102"/>
      <c r="G227" s="50"/>
      <c r="J227" s="107"/>
    </row>
    <row r="228" spans="2:10">
      <c r="B228" s="50"/>
      <c r="D228" s="102"/>
      <c r="G228" s="50"/>
      <c r="J228" s="107"/>
    </row>
    <row r="229" spans="2:10">
      <c r="B229" s="50"/>
      <c r="D229" s="102"/>
      <c r="G229" s="50"/>
      <c r="J229" s="107"/>
    </row>
    <row r="230" spans="2:10">
      <c r="B230" s="50"/>
      <c r="D230" s="102"/>
      <c r="G230" s="50"/>
      <c r="J230" s="107"/>
    </row>
    <row r="231" spans="2:10">
      <c r="B231" s="50"/>
      <c r="D231" s="102"/>
      <c r="G231" s="50"/>
      <c r="J231" s="107"/>
    </row>
    <row r="232" spans="2:10">
      <c r="B232" s="50"/>
      <c r="D232" s="102"/>
      <c r="G232" s="50"/>
      <c r="J232" s="107"/>
    </row>
    <row r="233" spans="2:10">
      <c r="B233" s="50"/>
      <c r="D233" s="102"/>
      <c r="G233" s="50"/>
      <c r="J233" s="61"/>
    </row>
    <row r="234" spans="2:10">
      <c r="B234" s="50"/>
      <c r="D234" s="102"/>
      <c r="G234" s="50"/>
      <c r="J234" s="61"/>
    </row>
    <row r="235" spans="2:10">
      <c r="B235" s="50"/>
      <c r="D235" s="102"/>
      <c r="G235" s="50"/>
      <c r="J235" s="61"/>
    </row>
    <row r="236" spans="2:10">
      <c r="B236" s="50"/>
      <c r="D236" s="102"/>
      <c r="G236" s="50"/>
      <c r="J236" s="61"/>
    </row>
    <row r="237" spans="2:10">
      <c r="B237" s="50"/>
      <c r="D237" s="102"/>
      <c r="G237" s="50"/>
      <c r="J237" s="61"/>
    </row>
    <row r="238" spans="2:10">
      <c r="B238" s="50"/>
      <c r="D238" s="102"/>
      <c r="G238" s="50"/>
      <c r="J238" s="61"/>
    </row>
    <row r="239" spans="2:10">
      <c r="B239" s="50"/>
      <c r="D239" s="102"/>
      <c r="G239" s="50"/>
      <c r="J239" s="21"/>
    </row>
    <row r="240" spans="2:10">
      <c r="B240" s="50"/>
      <c r="D240" s="102"/>
      <c r="G240" s="50"/>
      <c r="J240" s="21"/>
    </row>
    <row r="241" spans="2:10">
      <c r="B241" s="50"/>
      <c r="D241" s="102"/>
      <c r="G241" s="50"/>
      <c r="J241" s="21"/>
    </row>
    <row r="242" spans="2:10">
      <c r="B242" s="50"/>
      <c r="D242" s="102"/>
      <c r="G242" s="50"/>
      <c r="J242" s="21"/>
    </row>
    <row r="243" spans="2:10">
      <c r="B243" s="50"/>
      <c r="D243" s="102"/>
      <c r="G243" s="50"/>
      <c r="J243" s="21"/>
    </row>
    <row r="244" spans="2:10">
      <c r="B244" s="50"/>
      <c r="D244" s="102"/>
      <c r="G244" s="50"/>
      <c r="J244" s="21"/>
    </row>
    <row r="245" spans="2:10">
      <c r="B245" s="50"/>
      <c r="D245" s="102"/>
      <c r="G245" s="50"/>
      <c r="J245" s="21"/>
    </row>
    <row r="246" spans="2:10">
      <c r="B246" s="50"/>
      <c r="D246" s="102"/>
      <c r="G246" s="50"/>
      <c r="J246" s="21"/>
    </row>
    <row r="247" spans="2:10">
      <c r="B247" s="50"/>
      <c r="D247" s="102"/>
      <c r="G247" s="50"/>
      <c r="J247" s="21"/>
    </row>
    <row r="248" spans="2:10">
      <c r="B248" s="50"/>
      <c r="D248" s="102"/>
      <c r="G248" s="50"/>
      <c r="J248" s="21"/>
    </row>
    <row r="249" spans="2:10">
      <c r="B249" s="50"/>
      <c r="D249" s="102"/>
      <c r="G249" s="50"/>
      <c r="J249" s="21"/>
    </row>
    <row r="250" spans="2:10">
      <c r="B250" s="50"/>
      <c r="D250" s="102"/>
      <c r="G250" s="50"/>
      <c r="J250" s="21"/>
    </row>
    <row r="251" spans="2:10">
      <c r="B251" s="50"/>
      <c r="D251" s="102"/>
      <c r="G251" s="50"/>
      <c r="J251" s="21"/>
    </row>
    <row r="252" spans="2:10">
      <c r="B252" s="50"/>
      <c r="D252" s="102"/>
      <c r="G252" s="50"/>
      <c r="J252" s="21"/>
    </row>
    <row r="253" spans="2:10">
      <c r="B253" s="50"/>
      <c r="D253" s="102"/>
      <c r="G253" s="50"/>
      <c r="J253" s="21"/>
    </row>
    <row r="254" spans="2:10">
      <c r="B254" s="50"/>
      <c r="D254" s="102"/>
      <c r="G254" s="50"/>
      <c r="J254" s="21"/>
    </row>
    <row r="255" spans="2:10">
      <c r="B255" s="50"/>
      <c r="D255" s="102"/>
      <c r="G255" s="50"/>
      <c r="J255" s="21"/>
    </row>
    <row r="256" spans="2:10">
      <c r="B256" s="50"/>
      <c r="D256" s="102"/>
      <c r="G256" s="50"/>
      <c r="J256" s="21"/>
    </row>
    <row r="257" spans="2:10">
      <c r="B257" s="50"/>
      <c r="D257" s="102"/>
      <c r="G257" s="50"/>
      <c r="J257" s="21"/>
    </row>
    <row r="258" spans="2:10">
      <c r="B258" s="50"/>
      <c r="D258" s="102"/>
      <c r="G258" s="50"/>
      <c r="J258" s="21"/>
    </row>
    <row r="259" spans="2:10">
      <c r="B259" s="50"/>
      <c r="D259" s="102"/>
      <c r="G259" s="50"/>
      <c r="J259" s="21"/>
    </row>
    <row r="260" spans="2:10">
      <c r="B260" s="50"/>
      <c r="D260" s="102"/>
      <c r="G260" s="50"/>
      <c r="J260" s="21"/>
    </row>
    <row r="261" spans="2:10">
      <c r="B261" s="50"/>
      <c r="D261" s="102"/>
      <c r="G261" s="50"/>
      <c r="J261" s="21"/>
    </row>
    <row r="262" spans="2:10">
      <c r="B262" s="50"/>
      <c r="D262" s="102"/>
      <c r="G262" s="50"/>
      <c r="J262" s="21"/>
    </row>
    <row r="263" spans="2:10">
      <c r="B263" s="50"/>
      <c r="D263" s="102"/>
      <c r="G263" s="50"/>
      <c r="J263" s="21"/>
    </row>
    <row r="264" spans="2:10">
      <c r="B264" s="50"/>
      <c r="D264" s="102"/>
      <c r="G264" s="50"/>
      <c r="J264" s="21"/>
    </row>
    <row r="265" spans="2:10">
      <c r="B265" s="50"/>
      <c r="D265" s="102"/>
      <c r="G265" s="50"/>
      <c r="J265" s="21"/>
    </row>
    <row r="266" spans="2:10">
      <c r="B266" s="50"/>
      <c r="D266" s="102"/>
      <c r="G266" s="50"/>
      <c r="J266" s="21"/>
    </row>
    <row r="267" spans="2:10">
      <c r="B267" s="50"/>
      <c r="D267" s="102"/>
      <c r="G267" s="50"/>
      <c r="J267" s="21"/>
    </row>
    <row r="268" spans="2:10">
      <c r="B268" s="50"/>
      <c r="D268" s="102"/>
      <c r="G268" s="50"/>
      <c r="J268" s="21"/>
    </row>
    <row r="269" spans="2:10">
      <c r="B269" s="50"/>
      <c r="D269" s="102"/>
      <c r="G269" s="50"/>
      <c r="J269" s="21"/>
    </row>
    <row r="270" spans="2:10">
      <c r="B270" s="50"/>
      <c r="D270" s="102"/>
      <c r="G270" s="50"/>
      <c r="J270" s="21"/>
    </row>
    <row r="271" spans="2:10">
      <c r="B271" s="50"/>
      <c r="D271" s="102"/>
      <c r="G271" s="50"/>
      <c r="J271" s="21"/>
    </row>
    <row r="272" spans="2:10">
      <c r="B272" s="50"/>
      <c r="D272" s="102"/>
      <c r="G272" s="50"/>
      <c r="J272" s="21"/>
    </row>
    <row r="273" spans="2:10">
      <c r="B273" s="50"/>
      <c r="D273" s="102"/>
      <c r="G273" s="50"/>
      <c r="J273" s="21"/>
    </row>
    <row r="274" spans="2:10">
      <c r="B274" s="50"/>
      <c r="D274" s="102"/>
      <c r="G274" s="50"/>
      <c r="J274" s="21"/>
    </row>
    <row r="275" spans="2:10">
      <c r="B275" s="50"/>
      <c r="D275" s="102"/>
      <c r="G275" s="50"/>
      <c r="J275" s="21"/>
    </row>
    <row r="276" spans="2:10">
      <c r="B276" s="50"/>
      <c r="D276" s="102"/>
      <c r="G276" s="50"/>
      <c r="J276" s="21"/>
    </row>
    <row r="277" spans="2:10">
      <c r="B277" s="50"/>
      <c r="D277" s="102"/>
      <c r="G277" s="50"/>
      <c r="J277" s="21"/>
    </row>
    <row r="278" spans="2:10">
      <c r="B278" s="50"/>
      <c r="D278" s="102"/>
      <c r="G278" s="50"/>
      <c r="J278" s="21"/>
    </row>
    <row r="279" spans="2:10">
      <c r="B279" s="50"/>
      <c r="D279" s="102"/>
      <c r="G279" s="50"/>
      <c r="J279" s="21"/>
    </row>
    <row r="280" spans="2:10">
      <c r="B280" s="50"/>
      <c r="D280" s="102"/>
      <c r="G280" s="50"/>
      <c r="J280" s="21"/>
    </row>
    <row r="281" spans="2:10">
      <c r="B281" s="50"/>
      <c r="D281" s="102"/>
      <c r="G281" s="50"/>
      <c r="J281" s="21"/>
    </row>
    <row r="282" spans="2:10">
      <c r="B282" s="50"/>
      <c r="D282" s="102"/>
      <c r="G282" s="50"/>
      <c r="J282" s="21"/>
    </row>
    <row r="283" spans="2:10">
      <c r="B283" s="50"/>
      <c r="D283" s="102"/>
      <c r="G283" s="50"/>
      <c r="J283" s="21"/>
    </row>
    <row r="284" spans="2:10">
      <c r="B284" s="50"/>
      <c r="D284" s="102"/>
      <c r="G284" s="50"/>
      <c r="J284" s="21"/>
    </row>
    <row r="285" spans="2:10">
      <c r="B285" s="50"/>
      <c r="D285" s="102"/>
      <c r="G285" s="50"/>
      <c r="J285" s="21"/>
    </row>
    <row r="286" spans="2:10">
      <c r="B286" s="50"/>
      <c r="D286" s="102"/>
      <c r="G286" s="50"/>
      <c r="J286" s="21"/>
    </row>
    <row r="287" spans="2:10">
      <c r="B287" s="50"/>
      <c r="D287" s="102"/>
      <c r="G287" s="50"/>
      <c r="J287" s="21"/>
    </row>
    <row r="288" spans="2:10">
      <c r="B288" s="50"/>
      <c r="D288" s="102"/>
      <c r="G288" s="50"/>
      <c r="J288" s="21"/>
    </row>
    <row r="289" spans="2:10">
      <c r="B289" s="50"/>
      <c r="D289" s="102"/>
      <c r="G289" s="50"/>
      <c r="J289" s="21"/>
    </row>
    <row r="290" spans="2:10">
      <c r="B290" s="50"/>
      <c r="D290" s="102"/>
      <c r="G290" s="50"/>
      <c r="J290" s="21"/>
    </row>
    <row r="291" spans="2:10">
      <c r="B291" s="50"/>
      <c r="D291" s="102"/>
      <c r="G291" s="50"/>
      <c r="J291" s="21"/>
    </row>
    <row r="292" spans="2:10">
      <c r="B292" s="50"/>
      <c r="D292" s="102"/>
      <c r="G292" s="50"/>
      <c r="J292" s="21"/>
    </row>
    <row r="293" spans="2:10">
      <c r="B293" s="50"/>
      <c r="D293" s="102"/>
      <c r="G293" s="50"/>
      <c r="J293" s="21"/>
    </row>
    <row r="294" spans="2:10">
      <c r="B294" s="50"/>
      <c r="D294" s="102"/>
      <c r="G294" s="50"/>
      <c r="J294" s="21"/>
    </row>
    <row r="295" spans="2:10">
      <c r="B295" s="50"/>
      <c r="D295" s="102"/>
      <c r="G295" s="50"/>
      <c r="J295" s="21"/>
    </row>
    <row r="296" spans="2:10">
      <c r="B296" s="50"/>
      <c r="D296" s="102"/>
      <c r="G296" s="50"/>
      <c r="J296" s="21"/>
    </row>
    <row r="297" spans="2:10">
      <c r="B297" s="50"/>
      <c r="D297" s="102"/>
      <c r="G297" s="50"/>
      <c r="J297" s="21"/>
    </row>
    <row r="298" spans="2:10">
      <c r="B298" s="50"/>
      <c r="D298" s="102"/>
      <c r="G298" s="50"/>
      <c r="J298" s="21"/>
    </row>
    <row r="299" spans="2:10">
      <c r="B299" s="50"/>
      <c r="D299" s="102"/>
      <c r="G299" s="50"/>
      <c r="J299" s="21"/>
    </row>
    <row r="300" spans="2:10">
      <c r="B300" s="50"/>
      <c r="D300" s="102"/>
      <c r="G300" s="50"/>
      <c r="J300" s="21"/>
    </row>
    <row r="301" spans="2:10">
      <c r="B301" s="50"/>
      <c r="D301" s="102"/>
      <c r="G301" s="50"/>
      <c r="J301" s="21"/>
    </row>
    <row r="302" spans="2:10">
      <c r="B302" s="50"/>
      <c r="D302" s="102"/>
      <c r="G302" s="50"/>
      <c r="J302" s="21"/>
    </row>
    <row r="303" spans="2:10">
      <c r="B303" s="50"/>
      <c r="D303" s="102"/>
      <c r="G303" s="50"/>
      <c r="J303" s="21"/>
    </row>
    <row r="304" spans="2:10">
      <c r="B304" s="50"/>
      <c r="D304" s="102"/>
      <c r="G304" s="50"/>
      <c r="J304" s="21"/>
    </row>
    <row r="305" spans="2:10">
      <c r="B305" s="50"/>
      <c r="D305" s="102"/>
      <c r="G305" s="50"/>
      <c r="J305" s="21"/>
    </row>
    <row r="306" spans="2:10">
      <c r="B306" s="50"/>
      <c r="D306" s="102"/>
      <c r="G306" s="50"/>
      <c r="J306" s="21"/>
    </row>
    <row r="307" spans="2:10">
      <c r="B307" s="50"/>
      <c r="D307" s="102"/>
      <c r="G307" s="50"/>
      <c r="J307" s="21"/>
    </row>
    <row r="308" spans="2:10">
      <c r="B308" s="50"/>
      <c r="D308" s="102"/>
      <c r="G308" s="50"/>
      <c r="J308" s="21"/>
    </row>
    <row r="309" spans="2:10">
      <c r="B309" s="50"/>
      <c r="D309" s="102"/>
      <c r="G309" s="50"/>
      <c r="J309" s="21"/>
    </row>
    <row r="310" spans="2:10">
      <c r="B310" s="50"/>
      <c r="D310" s="102"/>
      <c r="G310" s="50"/>
      <c r="J310" s="21"/>
    </row>
    <row r="311" spans="2:10">
      <c r="B311" s="50"/>
      <c r="D311" s="102"/>
      <c r="G311" s="50"/>
      <c r="J311" s="21"/>
    </row>
    <row r="312" spans="2:10">
      <c r="B312" s="50"/>
      <c r="D312" s="102"/>
      <c r="G312" s="50"/>
      <c r="J312" s="21"/>
    </row>
    <row r="313" spans="2:10">
      <c r="B313" s="50"/>
      <c r="D313" s="102"/>
      <c r="G313" s="50"/>
      <c r="J313" s="21"/>
    </row>
    <row r="314" spans="2:10">
      <c r="B314" s="50"/>
      <c r="D314" s="102"/>
      <c r="G314" s="50"/>
      <c r="J314" s="21"/>
    </row>
    <row r="315" spans="2:10">
      <c r="B315" s="50"/>
      <c r="D315" s="102"/>
      <c r="G315" s="50"/>
      <c r="J315" s="21"/>
    </row>
    <row r="316" spans="2:10">
      <c r="B316" s="50"/>
      <c r="D316" s="102"/>
      <c r="G316" s="50"/>
      <c r="J316" s="21"/>
    </row>
    <row r="317" spans="2:10">
      <c r="B317" s="50"/>
      <c r="D317" s="102"/>
      <c r="G317" s="50"/>
      <c r="J317" s="21"/>
    </row>
    <row r="318" spans="2:10">
      <c r="B318" s="50"/>
      <c r="D318" s="102"/>
      <c r="G318" s="50"/>
      <c r="J318" s="21"/>
    </row>
    <row r="319" spans="2:10">
      <c r="B319" s="50"/>
      <c r="D319" s="102"/>
      <c r="G319" s="50"/>
      <c r="J319" s="21"/>
    </row>
    <row r="320" spans="2:10">
      <c r="B320" s="50"/>
      <c r="D320" s="102"/>
      <c r="G320" s="50"/>
      <c r="J320" s="21"/>
    </row>
    <row r="321" spans="2:10">
      <c r="B321" s="50"/>
      <c r="D321" s="102"/>
      <c r="G321" s="50"/>
      <c r="J321" s="21"/>
    </row>
    <row r="322" spans="2:10">
      <c r="B322" s="50"/>
      <c r="D322" s="102"/>
      <c r="G322" s="50"/>
      <c r="J322" s="21"/>
    </row>
    <row r="323" spans="2:10">
      <c r="B323" s="50"/>
      <c r="D323" s="102"/>
      <c r="G323" s="50"/>
      <c r="J323" s="21"/>
    </row>
    <row r="324" spans="2:10">
      <c r="B324" s="50"/>
      <c r="D324" s="102"/>
      <c r="G324" s="50"/>
      <c r="J324" s="21"/>
    </row>
    <row r="325" spans="2:10">
      <c r="B325" s="50"/>
      <c r="D325" s="102"/>
      <c r="G325" s="50"/>
      <c r="J325" s="21"/>
    </row>
    <row r="326" spans="2:10">
      <c r="B326" s="50"/>
      <c r="D326" s="102"/>
      <c r="G326" s="50"/>
      <c r="J326" s="21"/>
    </row>
    <row r="327" spans="2:10">
      <c r="B327" s="50"/>
      <c r="D327" s="102"/>
      <c r="G327" s="50"/>
      <c r="J327" s="21"/>
    </row>
    <row r="328" spans="2:10">
      <c r="B328" s="50"/>
      <c r="D328" s="102"/>
      <c r="G328" s="50"/>
      <c r="J328" s="21"/>
    </row>
    <row r="329" spans="2:10">
      <c r="B329" s="50"/>
      <c r="D329" s="102"/>
      <c r="G329" s="50"/>
      <c r="J329" s="21"/>
    </row>
    <row r="330" spans="2:10">
      <c r="B330" s="50"/>
      <c r="D330" s="102"/>
      <c r="G330" s="50"/>
      <c r="J330" s="21"/>
    </row>
    <row r="331" spans="2:10">
      <c r="B331" s="50"/>
      <c r="D331" s="102"/>
      <c r="G331" s="50"/>
      <c r="J331" s="21"/>
    </row>
    <row r="332" spans="2:10">
      <c r="B332" s="50"/>
      <c r="D332" s="102"/>
      <c r="G332" s="50"/>
      <c r="J332" s="21"/>
    </row>
    <row r="333" spans="2:10">
      <c r="B333" s="50"/>
      <c r="D333" s="102"/>
      <c r="G333" s="50"/>
      <c r="J333" s="21"/>
    </row>
    <row r="334" spans="2:10">
      <c r="B334" s="50"/>
      <c r="D334" s="102"/>
      <c r="G334" s="50"/>
      <c r="J334" s="21"/>
    </row>
    <row r="335" spans="2:10">
      <c r="B335" s="50"/>
      <c r="D335" s="102"/>
      <c r="G335" s="50"/>
      <c r="J335" s="21"/>
    </row>
    <row r="336" spans="2:10">
      <c r="B336" s="50"/>
      <c r="D336" s="102"/>
      <c r="G336" s="50"/>
      <c r="J336" s="21"/>
    </row>
    <row r="337" spans="2:10">
      <c r="B337" s="50"/>
      <c r="D337" s="102"/>
      <c r="G337" s="50"/>
      <c r="J337" s="21"/>
    </row>
    <row r="338" spans="2:10">
      <c r="B338" s="50"/>
      <c r="D338" s="102"/>
      <c r="G338" s="50"/>
      <c r="J338" s="21"/>
    </row>
    <row r="339" spans="2:10">
      <c r="B339" s="50"/>
      <c r="D339" s="102"/>
      <c r="G339" s="50"/>
      <c r="J339" s="21"/>
    </row>
    <row r="340" spans="2:10">
      <c r="B340" s="50"/>
      <c r="D340" s="102"/>
      <c r="G340" s="50"/>
      <c r="J340" s="21"/>
    </row>
    <row r="341" spans="2:10">
      <c r="B341" s="50"/>
      <c r="D341" s="102"/>
      <c r="G341" s="50"/>
      <c r="J341" s="21"/>
    </row>
    <row r="342" spans="2:10">
      <c r="B342" s="50"/>
      <c r="D342" s="102"/>
      <c r="G342" s="50"/>
      <c r="J342" s="21"/>
    </row>
    <row r="343" spans="2:10">
      <c r="B343" s="50"/>
      <c r="D343" s="102"/>
      <c r="G343" s="50"/>
      <c r="J343" s="21"/>
    </row>
    <row r="344" spans="2:10">
      <c r="B344" s="50"/>
      <c r="D344" s="102"/>
      <c r="G344" s="50"/>
      <c r="J344" s="21"/>
    </row>
    <row r="345" spans="2:10">
      <c r="B345" s="50"/>
      <c r="D345" s="102"/>
      <c r="G345" s="50"/>
      <c r="J345" s="21"/>
    </row>
    <row r="346" spans="2:10">
      <c r="B346" s="50"/>
      <c r="D346" s="102"/>
      <c r="G346" s="50"/>
      <c r="J346" s="21"/>
    </row>
    <row r="347" spans="2:10">
      <c r="B347" s="50"/>
      <c r="D347" s="102"/>
      <c r="G347" s="50"/>
      <c r="J347" s="21"/>
    </row>
    <row r="348" spans="2:10">
      <c r="B348" s="50"/>
      <c r="D348" s="102"/>
      <c r="G348" s="50"/>
      <c r="J348" s="21"/>
    </row>
    <row r="349" spans="2:10">
      <c r="B349" s="50"/>
      <c r="D349" s="102"/>
      <c r="G349" s="50"/>
      <c r="J349" s="21"/>
    </row>
    <row r="350" spans="2:10">
      <c r="B350" s="50"/>
      <c r="D350" s="102"/>
      <c r="G350" s="50"/>
      <c r="J350" s="21"/>
    </row>
    <row r="351" spans="2:10">
      <c r="B351" s="50"/>
      <c r="D351" s="102"/>
      <c r="G351" s="50"/>
      <c r="J351" s="21"/>
    </row>
    <row r="352" spans="2:10">
      <c r="B352" s="50"/>
      <c r="D352" s="102"/>
      <c r="G352" s="50"/>
      <c r="J352" s="21"/>
    </row>
    <row r="353" spans="2:10">
      <c r="B353" s="50"/>
      <c r="D353" s="102"/>
      <c r="G353" s="50"/>
      <c r="J353" s="21"/>
    </row>
    <row r="354" spans="2:10">
      <c r="B354" s="50"/>
      <c r="D354" s="102"/>
      <c r="G354" s="50"/>
      <c r="J354" s="21"/>
    </row>
    <row r="355" spans="2:10">
      <c r="B355" s="50"/>
      <c r="D355" s="102"/>
      <c r="G355" s="50"/>
      <c r="J355" s="21"/>
    </row>
    <row r="356" spans="2:10">
      <c r="B356" s="50"/>
      <c r="D356" s="102"/>
      <c r="G356" s="50"/>
      <c r="J356" s="21"/>
    </row>
    <row r="357" spans="2:10">
      <c r="B357" s="50"/>
      <c r="D357" s="102"/>
      <c r="G357" s="50"/>
      <c r="J357" s="21"/>
    </row>
    <row r="358" spans="2:10">
      <c r="B358" s="50"/>
      <c r="D358" s="102"/>
      <c r="G358" s="50"/>
      <c r="J358" s="21"/>
    </row>
    <row r="359" spans="2:10">
      <c r="B359" s="50"/>
      <c r="D359" s="102"/>
      <c r="G359" s="50"/>
      <c r="J359" s="21"/>
    </row>
    <row r="360" spans="2:10">
      <c r="B360" s="50"/>
      <c r="D360" s="102"/>
      <c r="G360" s="50"/>
      <c r="J360" s="21"/>
    </row>
    <row r="361" spans="2:10">
      <c r="B361" s="50"/>
      <c r="D361" s="102"/>
      <c r="G361" s="50"/>
      <c r="J361" s="21"/>
    </row>
    <row r="362" spans="2:10">
      <c r="B362" s="50"/>
      <c r="D362" s="102"/>
      <c r="G362" s="50"/>
      <c r="J362" s="21"/>
    </row>
    <row r="363" spans="2:10">
      <c r="B363" s="50"/>
      <c r="D363" s="102"/>
      <c r="G363" s="50"/>
      <c r="J363" s="21"/>
    </row>
    <row r="364" spans="2:10">
      <c r="B364" s="50"/>
      <c r="D364" s="102"/>
      <c r="G364" s="50"/>
      <c r="J364" s="21"/>
    </row>
    <row r="365" spans="2:10">
      <c r="B365" s="50"/>
      <c r="D365" s="102"/>
      <c r="G365" s="50"/>
      <c r="J365" s="21"/>
    </row>
    <row r="366" spans="2:10">
      <c r="B366" s="50"/>
      <c r="D366" s="102"/>
      <c r="G366" s="50"/>
      <c r="J366" s="21"/>
    </row>
    <row r="367" spans="2:10">
      <c r="B367" s="50"/>
      <c r="D367" s="102"/>
      <c r="G367" s="50"/>
      <c r="J367" s="21"/>
    </row>
    <row r="368" spans="2:10">
      <c r="B368" s="50"/>
      <c r="D368" s="102"/>
      <c r="G368" s="50"/>
      <c r="J368" s="21"/>
    </row>
    <row r="369" spans="2:10">
      <c r="B369" s="50"/>
      <c r="D369" s="102"/>
      <c r="G369" s="50"/>
      <c r="J369" s="21"/>
    </row>
    <row r="370" spans="2:10">
      <c r="B370" s="50"/>
      <c r="D370" s="102"/>
      <c r="G370" s="50"/>
      <c r="J370" s="21"/>
    </row>
    <row r="371" spans="2:10">
      <c r="B371" s="50"/>
      <c r="D371" s="102"/>
      <c r="G371" s="50"/>
      <c r="J371" s="21"/>
    </row>
    <row r="372" spans="2:10">
      <c r="B372" s="50"/>
      <c r="D372" s="102"/>
      <c r="G372" s="50"/>
      <c r="J372" s="21"/>
    </row>
    <row r="373" spans="2:10">
      <c r="B373" s="50"/>
      <c r="D373" s="102"/>
      <c r="G373" s="50"/>
      <c r="J373" s="21"/>
    </row>
    <row r="374" spans="2:10">
      <c r="B374" s="50"/>
      <c r="D374" s="102"/>
      <c r="G374" s="50"/>
      <c r="J374" s="21"/>
    </row>
    <row r="375" spans="2:10">
      <c r="B375" s="50"/>
      <c r="D375" s="102"/>
      <c r="G375" s="50"/>
      <c r="J375" s="21"/>
    </row>
    <row r="376" spans="2:10">
      <c r="B376" s="50"/>
      <c r="D376" s="102"/>
      <c r="G376" s="50"/>
      <c r="J376" s="21"/>
    </row>
    <row r="377" spans="2:10">
      <c r="B377" s="50"/>
      <c r="D377" s="102"/>
      <c r="G377" s="50"/>
      <c r="J377" s="21"/>
    </row>
    <row r="378" spans="2:10">
      <c r="B378" s="50"/>
      <c r="D378" s="102"/>
      <c r="G378" s="50"/>
      <c r="J378" s="21"/>
    </row>
    <row r="379" spans="2:10">
      <c r="B379" s="50"/>
      <c r="D379" s="102"/>
      <c r="G379" s="50"/>
      <c r="J379" s="21"/>
    </row>
    <row r="380" spans="2:10">
      <c r="B380" s="50"/>
      <c r="D380" s="102"/>
      <c r="G380" s="50"/>
      <c r="J380" s="21"/>
    </row>
    <row r="381" spans="2:10">
      <c r="B381" s="50"/>
      <c r="D381" s="102"/>
      <c r="G381" s="50"/>
      <c r="J381" s="21"/>
    </row>
    <row r="382" spans="2:10">
      <c r="B382" s="50"/>
      <c r="D382" s="102"/>
      <c r="G382" s="50"/>
      <c r="J382" s="21"/>
    </row>
    <row r="383" spans="2:10">
      <c r="B383" s="50"/>
      <c r="D383" s="102"/>
      <c r="G383" s="50"/>
      <c r="J383" s="21"/>
    </row>
    <row r="384" spans="2:10">
      <c r="B384" s="50"/>
      <c r="D384" s="102"/>
      <c r="G384" s="50"/>
      <c r="J384" s="21"/>
    </row>
    <row r="385" spans="2:10">
      <c r="B385" s="50"/>
      <c r="D385" s="102"/>
      <c r="G385" s="50"/>
      <c r="J385" s="21"/>
    </row>
    <row r="386" spans="2:10">
      <c r="B386" s="50"/>
      <c r="D386" s="102"/>
      <c r="G386" s="50"/>
      <c r="J386" s="21"/>
    </row>
    <row r="387" spans="2:10">
      <c r="B387" s="50"/>
      <c r="D387" s="102"/>
      <c r="G387" s="50"/>
      <c r="J387" s="21"/>
    </row>
    <row r="388" spans="2:10">
      <c r="B388" s="50"/>
      <c r="D388" s="102"/>
      <c r="G388" s="50"/>
      <c r="J388" s="21"/>
    </row>
    <row r="389" spans="2:10">
      <c r="B389" s="50"/>
      <c r="D389" s="102"/>
      <c r="G389" s="50"/>
      <c r="J389" s="21"/>
    </row>
    <row r="390" spans="2:10">
      <c r="B390" s="50"/>
      <c r="D390" s="102"/>
      <c r="G390" s="50"/>
      <c r="J390" s="21"/>
    </row>
    <row r="391" spans="2:10">
      <c r="B391" s="50"/>
      <c r="D391" s="102"/>
      <c r="G391" s="50"/>
      <c r="J391" s="21"/>
    </row>
    <row r="392" spans="2:10">
      <c r="B392" s="50"/>
      <c r="D392" s="102"/>
      <c r="G392" s="50"/>
      <c r="J392" s="21"/>
    </row>
    <row r="393" spans="2:10">
      <c r="B393" s="50"/>
      <c r="D393" s="102"/>
      <c r="G393" s="50"/>
      <c r="J393" s="21"/>
    </row>
    <row r="394" spans="2:10">
      <c r="B394" s="50"/>
      <c r="D394" s="102"/>
      <c r="G394" s="50"/>
      <c r="J394" s="21"/>
    </row>
    <row r="395" spans="2:10">
      <c r="B395" s="50"/>
      <c r="D395" s="102"/>
      <c r="G395" s="50"/>
      <c r="J395" s="21"/>
    </row>
    <row r="396" spans="2:10">
      <c r="B396" s="50"/>
      <c r="D396" s="102"/>
      <c r="G396" s="50"/>
      <c r="J396" s="21"/>
    </row>
    <row r="397" spans="2:10">
      <c r="B397" s="50"/>
      <c r="D397" s="102"/>
      <c r="G397" s="50"/>
      <c r="J397" s="21"/>
    </row>
    <row r="398" spans="2:10">
      <c r="B398" s="50"/>
      <c r="D398" s="102"/>
      <c r="G398" s="50"/>
      <c r="J398" s="21"/>
    </row>
    <row r="399" spans="2:10">
      <c r="B399" s="50"/>
      <c r="D399" s="102"/>
      <c r="G399" s="50"/>
      <c r="J399" s="21"/>
    </row>
    <row r="400" spans="2:10">
      <c r="B400" s="50"/>
      <c r="D400" s="102"/>
      <c r="G400" s="50"/>
      <c r="J400" s="21"/>
    </row>
    <row r="401" spans="2:10">
      <c r="B401" s="50"/>
      <c r="D401" s="102"/>
      <c r="G401" s="50"/>
      <c r="J401" s="21"/>
    </row>
    <row r="402" spans="2:10">
      <c r="B402" s="50"/>
      <c r="D402" s="102"/>
      <c r="G402" s="50"/>
      <c r="J402" s="21"/>
    </row>
    <row r="403" spans="2:10">
      <c r="B403" s="50"/>
      <c r="D403" s="102"/>
      <c r="G403" s="50"/>
      <c r="J403" s="21"/>
    </row>
    <row r="404" spans="2:10">
      <c r="B404" s="50"/>
      <c r="D404" s="102"/>
      <c r="G404" s="50"/>
      <c r="J404" s="21"/>
    </row>
    <row r="405" spans="2:10">
      <c r="B405" s="50"/>
      <c r="D405" s="102"/>
      <c r="G405" s="50"/>
      <c r="J405" s="21"/>
    </row>
    <row r="406" spans="2:10">
      <c r="B406" s="50"/>
      <c r="D406" s="102"/>
      <c r="G406" s="50"/>
      <c r="J406" s="21"/>
    </row>
    <row r="407" spans="2:10">
      <c r="B407" s="50"/>
      <c r="D407" s="102"/>
      <c r="G407" s="50"/>
      <c r="J407" s="21"/>
    </row>
    <row r="408" spans="2:10">
      <c r="B408" s="50"/>
      <c r="D408" s="102"/>
      <c r="G408" s="50"/>
      <c r="J408" s="21"/>
    </row>
  </sheetData>
  <conditionalFormatting sqref="A149:A183">
    <cfRule type="containsText" dxfId="5" priority="5" operator="containsText" text="Revisão">
      <formula>NOT(ISERROR(SEARCH("Revisão",A149)))</formula>
    </cfRule>
  </conditionalFormatting>
  <conditionalFormatting sqref="E107:E138">
    <cfRule type="containsText" dxfId="4" priority="4" operator="containsText" text="Revisão">
      <formula>NOT(ISERROR(SEARCH("Revisão",E107)))</formula>
    </cfRule>
  </conditionalFormatting>
  <conditionalFormatting sqref="A107:A143">
    <cfRule type="containsText" dxfId="3" priority="3" operator="containsText" text="Revisão">
      <formula>NOT(ISERROR(SEARCH("Revisão",A107)))</formula>
    </cfRule>
  </conditionalFormatting>
  <conditionalFormatting sqref="A1:IW408">
    <cfRule type="containsText" dxfId="2" priority="2" operator="containsText" text="DPF- Manutenção">
      <formula>NOT(ISERROR(SEARCH("DPF- Manutenção",A1)))</formula>
    </cfRule>
  </conditionalFormatting>
  <conditionalFormatting sqref="A1:IW408">
    <cfRule type="containsText" dxfId="1" priority="1" operator="containsText" text="Revisão">
      <formula>NOT(ISERROR(SEARCH("Revisão",A1)))</formula>
    </cfRule>
  </conditionalFormatting>
  <conditionalFormatting sqref="C2:C106">
    <cfRule type="duplicateValues" dxfId="0" priority="6"/>
  </conditionalFormatting>
  <hyperlinks>
    <hyperlink ref="C65" r:id="rId1" xr:uid="{A7C43782-1F82-4F20-A2E9-2CB3FF8B7261}"/>
    <hyperlink ref="C67" r:id="rId2" xr:uid="{FEF6454E-5A44-44C4-B90E-7994840D5411}"/>
    <hyperlink ref="C66" r:id="rId3" xr:uid="{145EB741-CFA0-4B56-82D1-1628B730A3D3}"/>
    <hyperlink ref="C98" r:id="rId4" xr:uid="{FA4EF79A-147E-4A54-B393-4E6A1B23CDD7}"/>
    <hyperlink ref="C90" r:id="rId5" xr:uid="{D95BDB38-AF13-4317-A5C8-1FF69FC672DA}"/>
    <hyperlink ref="C74" r:id="rId6" xr:uid="{3DCE8FC5-9EEE-47A8-B6C7-B73FD789F252}"/>
    <hyperlink ref="C73" r:id="rId7" xr:uid="{B2ED9815-0C00-4159-8E66-91B9EF4DE906}"/>
    <hyperlink ref="C97" r:id="rId8" xr:uid="{5E4133B9-2661-44E4-A4D2-C5F56E1D3915}"/>
    <hyperlink ref="C91" r:id="rId9" xr:uid="{F679E473-717B-4A63-BDD0-9408709A42C4}"/>
    <hyperlink ref="C77" r:id="rId10" xr:uid="{09FF0CB8-1871-489A-8128-CCDD5D2B72F7}"/>
    <hyperlink ref="C92" r:id="rId11" xr:uid="{31D36A44-BE55-4089-A704-610938833B3F}"/>
    <hyperlink ref="C93" r:id="rId12" xr:uid="{200C6199-D90F-4121-8571-399AFE4004D9}"/>
    <hyperlink ref="C68" r:id="rId13" xr:uid="{11161AE3-4214-4039-91E9-C969DC7A91B2}"/>
    <hyperlink ref="C69" r:id="rId14" xr:uid="{C2DC81EE-6360-4360-93E1-3D5572274F0A}"/>
    <hyperlink ref="C79" r:id="rId15" xr:uid="{2E1D1864-D1C6-43C6-B506-F0638DCF80AE}"/>
    <hyperlink ref="C83" r:id="rId16" xr:uid="{CFD4F854-356D-4348-84FF-8B19D30364B0}"/>
    <hyperlink ref="C96" r:id="rId17" xr:uid="{A0195E13-6793-4F45-B39D-E19FE7F4908C}"/>
    <hyperlink ref="C80" r:id="rId18" xr:uid="{B915881B-1A69-463F-9955-8B26A22746AE}"/>
    <hyperlink ref="C87" r:id="rId19" xr:uid="{2D15F42D-00AF-489D-984B-AA8FF4BBADBB}"/>
    <hyperlink ref="C88" r:id="rId20" xr:uid="{D38EC3E9-1E91-4E06-846F-1192B9F8AFBB}"/>
    <hyperlink ref="C82" r:id="rId21" xr:uid="{7272B9C0-A103-4383-8C9F-4FBC91128115}"/>
    <hyperlink ref="C76" r:id="rId22" xr:uid="{80A1DFFF-39DA-4BEC-9661-16B2192D27D1}"/>
    <hyperlink ref="C81" r:id="rId23" xr:uid="{4B3E1597-1046-4849-8062-FA37FC044F31}"/>
    <hyperlink ref="C84" r:id="rId24" xr:uid="{BB5BEDED-9127-47E8-B3EA-FA0B69F46E5F}"/>
    <hyperlink ref="C70" r:id="rId25" xr:uid="{3DC94AF1-473F-4392-9571-1F7415E24A8E}"/>
    <hyperlink ref="C85" r:id="rId26" xr:uid="{24D5F976-451E-42D1-A637-B8103DDFD07A}"/>
    <hyperlink ref="C75" r:id="rId27" xr:uid="{FBC8476B-F4C8-45FE-9E3E-DA4784277AB7}"/>
    <hyperlink ref="C94" r:id="rId28" xr:uid="{8603DA9D-BB9C-4869-A89B-66DA4B0517D2}"/>
    <hyperlink ref="C99" r:id="rId29" xr:uid="{A4556960-9ADC-4820-9612-9C43314DEA65}"/>
    <hyperlink ref="C100" r:id="rId30" xr:uid="{114EDADB-5A21-4CC1-BBDF-6DBE0EDA2FF9}"/>
    <hyperlink ref="C101" r:id="rId31" xr:uid="{C2528D53-215A-4838-8533-860C6FAD1ABA}"/>
    <hyperlink ref="C86" r:id="rId32" xr:uid="{4B0AB0E4-8E04-48F2-9914-086E5EA260D1}"/>
    <hyperlink ref="C89" r:id="rId33" xr:uid="{44697836-AE64-4D06-8BCC-CFB48EC65757}"/>
    <hyperlink ref="C95" r:id="rId34" xr:uid="{C249FA66-9545-4D08-AF1C-BC156F832D7C}"/>
    <hyperlink ref="C71" r:id="rId35" xr:uid="{D1EB6AB8-5634-4ECB-8A8D-8551670F6AA4}"/>
    <hyperlink ref="C72" r:id="rId36" xr:uid="{45682518-DE4E-4DED-8E85-8A2EC388EA48}"/>
    <hyperlink ref="C104" r:id="rId37" xr:uid="{F72CC616-0404-4334-BCFA-526FF96D5F45}"/>
    <hyperlink ref="C105" r:id="rId38" xr:uid="{8B46512F-7C94-40A2-A3C6-1A417F3F3572}"/>
    <hyperlink ref="C102" r:id="rId39" xr:uid="{817F53A1-BCDA-470A-A28A-D326C8463752}"/>
    <hyperlink ref="C48" r:id="rId40" xr:uid="{38C95F4E-59CB-4EE8-A9DA-5A19FBD2CFA0}"/>
    <hyperlink ref="C54" r:id="rId41" xr:uid="{D73A4B40-9ED3-4B69-851F-8F8C0290E807}"/>
    <hyperlink ref="C50" r:id="rId42" xr:uid="{F878208B-F3C5-4F2D-B117-76AC2AB249AA}"/>
    <hyperlink ref="C53" r:id="rId43" xr:uid="{93F307FF-E73D-45C6-BDA5-714682CBC002}"/>
    <hyperlink ref="C56" r:id="rId44" xr:uid="{33A30E64-CC65-4846-992C-F417888DEBD8}"/>
    <hyperlink ref="C49" r:id="rId45" xr:uid="{CF164AA0-C7A4-4455-9603-A5DF4EAD34FF}"/>
    <hyperlink ref="C55" r:id="rId46" xr:uid="{AE65DF5F-9C74-4E51-B73B-DE428E91861D}"/>
    <hyperlink ref="C51" r:id="rId47" xr:uid="{4D5348DE-4FE3-4BEE-BB1A-3CE6293769F8}"/>
    <hyperlink ref="C52" r:id="rId48" xr:uid="{E3523991-10D0-4519-B544-EE28F2E470BC}"/>
    <hyperlink ref="C38" r:id="rId49" xr:uid="{025EB2A1-4185-45DD-A63F-0C5D8D293C4D}"/>
    <hyperlink ref="C37" r:id="rId50" xr:uid="{5E79AE97-5AF4-4F5D-AA8F-962D7F0270C6}"/>
    <hyperlink ref="C36" r:id="rId51" xr:uid="{FEAF197F-5A41-4913-9AD9-91563D9681A3}"/>
    <hyperlink ref="C43" r:id="rId52" xr:uid="{754B9901-6E5C-42D1-8F1C-7EE545CBAF5E}"/>
    <hyperlink ref="C42" r:id="rId53" xr:uid="{6CD00DC8-5E44-4741-9194-444EC72E88BF}"/>
    <hyperlink ref="C44" r:id="rId54" xr:uid="{FD8C31D8-5EA4-47A5-A243-666546059985}"/>
    <hyperlink ref="C47" r:id="rId55" xr:uid="{EBDC2694-D2C4-4A2E-A9A4-A1029D5EE885}"/>
    <hyperlink ref="C46" r:id="rId56" xr:uid="{D24DF9A4-371B-4453-984D-B82BBE9A90C7}"/>
    <hyperlink ref="C39" r:id="rId57" xr:uid="{7D4F0E6E-26D6-4E87-B3EF-A01BC05B1B39}"/>
    <hyperlink ref="C45" r:id="rId58" xr:uid="{67CA0810-BD47-4078-B435-4A9178D51A3A}"/>
    <hyperlink ref="C40" r:id="rId59" xr:uid="{2112E195-D175-4E10-AFAC-DB190534920C}"/>
    <hyperlink ref="C41" r:id="rId60" xr:uid="{787D2751-831A-48DD-831E-5F2F57D92BA3}"/>
    <hyperlink ref="C13" r:id="rId61" xr:uid="{DCA66C7D-AE80-4153-9E3C-94810C0625A5}"/>
    <hyperlink ref="C14" r:id="rId62" xr:uid="{5FA83CFF-BC8D-4104-8225-389909AB5090}"/>
    <hyperlink ref="C17" r:id="rId63" xr:uid="{7D64E99E-F010-42D0-A4A6-817E2A5FDD35}"/>
    <hyperlink ref="C16" r:id="rId64" xr:uid="{96180328-7197-4F75-AEBD-C61BF537A7D2}"/>
    <hyperlink ref="C12" r:id="rId65" xr:uid="{9F83246A-1390-46CB-A97A-17E2A36B9F6C}"/>
    <hyperlink ref="C15" r:id="rId66" xr:uid="{E31BA516-3BDC-4B12-A76F-24AFA753D923}"/>
    <hyperlink ref="C33" r:id="rId67" xr:uid="{0DA6B8F1-6A99-4690-9606-7E64BAC1131C}"/>
    <hyperlink ref="C30" r:id="rId68" xr:uid="{C34EF7D9-2EB6-4340-BD6F-7EB40E722F25}"/>
    <hyperlink ref="C35" r:id="rId69" xr:uid="{8ECAE0CF-C631-4E5B-A4BF-F3C7B658362E}"/>
    <hyperlink ref="C32" r:id="rId70" xr:uid="{F373CE49-E68B-4718-A038-B36ECA984827}"/>
    <hyperlink ref="C34" r:id="rId71" xr:uid="{E3F50F3D-D36A-4790-BA9A-5A75287E6140}"/>
    <hyperlink ref="C31" r:id="rId72" xr:uid="{34FADAF5-B021-43C8-A25A-B076A8367D2C}"/>
    <hyperlink ref="C10" r:id="rId73" xr:uid="{F8A34F4E-5CA1-4E1C-B675-DA431BC9A46F}"/>
    <hyperlink ref="C11" r:id="rId74" xr:uid="{A4189B35-D0C0-486B-BD5A-496A0C258387}"/>
    <hyperlink ref="C19" r:id="rId75" xr:uid="{58561D83-2388-449F-AEA2-579CC7398400}"/>
    <hyperlink ref="C20" r:id="rId76" xr:uid="{8EAC2432-81E9-44FF-B28B-978D0DB66C97}"/>
    <hyperlink ref="C57" r:id="rId77" xr:uid="{78D507AC-99A4-4C64-976E-97EDA48F235E}"/>
    <hyperlink ref="C58" r:id="rId78" xr:uid="{A86EE7A1-40A9-4D80-835F-339C208A0F48}"/>
    <hyperlink ref="C78" r:id="rId79" xr:uid="{07FCDD68-398C-4152-836B-F495DF20B260}"/>
    <hyperlink ref="C4" r:id="rId80" xr:uid="{5FC44F10-FF31-4A07-A16F-622F12F4E971}"/>
    <hyperlink ref="C21" r:id="rId81" xr:uid="{46705876-541A-4BA8-A586-CCD80876AA68}"/>
    <hyperlink ref="C62" r:id="rId82" xr:uid="{346CF094-ECBC-404F-A880-3A9FE4BE5275}"/>
    <hyperlink ref="C64" r:id="rId83" xr:uid="{C7B9177E-F7CD-4CA4-88FC-628DA4BEBD3A}"/>
    <hyperlink ref="C59" r:id="rId84" xr:uid="{0A824970-90DB-4818-B6A6-F40CB811D524}"/>
    <hyperlink ref="C22" r:id="rId85" xr:uid="{4C847060-1389-4641-A877-C6B6F97D91FD}"/>
    <hyperlink ref="C23" r:id="rId86" xr:uid="{AA2AAE3E-0CDB-49FC-9E52-C32E87C1E67D}"/>
    <hyperlink ref="C5" r:id="rId87" xr:uid="{2D28C03E-B5DF-4857-AE3C-B3F14E18D7C6}"/>
    <hyperlink ref="C6" r:id="rId88" xr:uid="{F8EF10C4-6900-4D63-AC95-F3B14FD99CA0}"/>
    <hyperlink ref="C24" r:id="rId89" xr:uid="{830C63AE-C67E-48E4-9575-D21B3EE51E3E}"/>
    <hyperlink ref="C25" r:id="rId90" xr:uid="{B69680C9-DAB5-43F6-9E12-AAD12CE4D4CA}"/>
    <hyperlink ref="C26" r:id="rId91" xr:uid="{E1687DB3-9501-41CE-9CF5-15B352330361}"/>
    <hyperlink ref="C27" r:id="rId92" xr:uid="{A1419A67-6359-4C51-9388-8B177580E774}"/>
    <hyperlink ref="C28" r:id="rId93" xr:uid="{DF4B4510-42E0-42A9-8DB3-10ACD6B45825}"/>
    <hyperlink ref="C8" r:id="rId94" xr:uid="{9383285C-4661-447B-9A6A-4E51EDFDFB72}"/>
    <hyperlink ref="C9" r:id="rId95" xr:uid="{E68F50AD-B0DD-482D-BDFA-0647B62B6963}"/>
    <hyperlink ref="C2" r:id="rId96" xr:uid="{339E6241-10F9-446B-A34E-7C6C8BD04099}"/>
    <hyperlink ref="C60" r:id="rId97" xr:uid="{D846AF0D-D594-42CF-98ED-935005AC9FFF}"/>
    <hyperlink ref="C61" r:id="rId98" xr:uid="{ADEC1E60-B3C2-4AAF-845D-11499B205E1B}"/>
    <hyperlink ref="C106" r:id="rId99" xr:uid="{CE7F1396-850D-4534-98F8-81B95F3622EF}"/>
    <hyperlink ref="C18" r:id="rId100" xr:uid="{83EDF565-FE57-4974-9D8B-2816635D1D31}"/>
    <hyperlink ref="C7" r:id="rId101" xr:uid="{57CD228D-2FB9-4572-95EF-768ED2039007}"/>
    <hyperlink ref="C103" r:id="rId102" xr:uid="{17F9BDD8-A83B-4E7F-A6B9-6E833B920DB8}"/>
    <hyperlink ref="C3" r:id="rId103" xr:uid="{EFE9D615-EF6A-4D18-90BB-F3B589098E7C}"/>
    <hyperlink ref="C29" r:id="rId104" xr:uid="{7532FF24-35B8-421C-A649-3652358B3B40}"/>
    <hyperlink ref="C63" r:id="rId105" xr:uid="{AEF4860A-1C6A-461E-AAE5-CC897B5C6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2026-05-07T16:28:09Z</dcterms:created>
  <dcterms:modified xsi:type="dcterms:W3CDTF">2026-05-07T16:29:38Z</dcterms:modified>
  <cp:category/>
  <cp:contentStatus/>
</cp:coreProperties>
</file>